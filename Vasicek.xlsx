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ulmehta/Downloads/"/>
    </mc:Choice>
  </mc:AlternateContent>
  <xr:revisionPtr revIDLastSave="0" documentId="13_ncr:1_{FAC6E47B-BB78-B648-8ABE-816CB922396B}" xr6:coauthVersionLast="47" xr6:coauthVersionMax="47" xr10:uidLastSave="{00000000-0000-0000-0000-000000000000}"/>
  <bookViews>
    <workbookView xWindow="0" yWindow="760" windowWidth="30240" windowHeight="17580" activeTab="4" xr2:uid="{17F77BE5-E1B7-F54E-A6DE-30636634E80B}"/>
  </bookViews>
  <sheets>
    <sheet name="2024" sheetId="1" r:id="rId1"/>
    <sheet name="2023" sheetId="2" r:id="rId2"/>
    <sheet name="Vasicek Parameter Est (MLE)" sheetId="3" r:id="rId3"/>
    <sheet name="Vasicek Simulation (MLE)" sheetId="5" r:id="rId4"/>
    <sheet name="CIR Parameter Est (MLE) )" sheetId="4" r:id="rId5"/>
    <sheet name="CIR Simulation (MLE)" sheetId="6" r:id="rId6"/>
  </sheets>
  <definedNames>
    <definedName name="solver_adj" localSheetId="4" hidden="1">'CIR Parameter Est (MLE) )'!$O$2:$O$4</definedName>
    <definedName name="solver_adj" localSheetId="2" hidden="1">'Vasicek Parameter Est (MLE)'!$O$2:$O$4</definedName>
    <definedName name="solver_cvg" localSheetId="4" hidden="1">0.0001</definedName>
    <definedName name="solver_cvg" localSheetId="2" hidden="1">0.0001</definedName>
    <definedName name="solver_drv" localSheetId="4" hidden="1">1</definedName>
    <definedName name="solver_drv" localSheetId="2" hidden="1">1</definedName>
    <definedName name="solver_eng" localSheetId="4" hidden="1">1</definedName>
    <definedName name="solver_eng" localSheetId="2" hidden="1">1</definedName>
    <definedName name="solver_itr" localSheetId="4" hidden="1">2147483647</definedName>
    <definedName name="solver_itr" localSheetId="2" hidden="1">2147483647</definedName>
    <definedName name="solver_lhs1" localSheetId="4" hidden="1">'CIR Parameter Est (MLE) )'!$O$2</definedName>
    <definedName name="solver_lhs1" localSheetId="2" hidden="1">'Vasicek Parameter Est (MLE)'!$O$2</definedName>
    <definedName name="solver_lhs2" localSheetId="4" hidden="1">'CIR Parameter Est (MLE) )'!$O$3</definedName>
    <definedName name="solver_lhs2" localSheetId="2" hidden="1">'Vasicek Parameter Est (MLE)'!$O$4</definedName>
    <definedName name="solver_lhs3" localSheetId="4" hidden="1">'CIR Parameter Est (MLE) )'!$O$4</definedName>
    <definedName name="solver_lin" localSheetId="4" hidden="1">2</definedName>
    <definedName name="solver_lin" localSheetId="2" hidden="1">2</definedName>
    <definedName name="solver_mip" localSheetId="4" hidden="1">2147483647</definedName>
    <definedName name="solver_mip" localSheetId="2" hidden="1">2147483647</definedName>
    <definedName name="solver_mni" localSheetId="4" hidden="1">30</definedName>
    <definedName name="solver_mni" localSheetId="2" hidden="1">30</definedName>
    <definedName name="solver_mrt" localSheetId="4" hidden="1">0.075</definedName>
    <definedName name="solver_mrt" localSheetId="2" hidden="1">0.075</definedName>
    <definedName name="solver_msl" localSheetId="4" hidden="1">2</definedName>
    <definedName name="solver_msl" localSheetId="2" hidden="1">2</definedName>
    <definedName name="solver_neg" localSheetId="4" hidden="1">2</definedName>
    <definedName name="solver_neg" localSheetId="2" hidden="1">2</definedName>
    <definedName name="solver_nod" localSheetId="4" hidden="1">2147483647</definedName>
    <definedName name="solver_nod" localSheetId="2" hidden="1">2147483647</definedName>
    <definedName name="solver_num" localSheetId="4" hidden="1">3</definedName>
    <definedName name="solver_num" localSheetId="2" hidden="1">2</definedName>
    <definedName name="solver_opt" localSheetId="4" hidden="1">'CIR Parameter Est (MLE) )'!$L$2</definedName>
    <definedName name="solver_opt" localSheetId="2" hidden="1">'Vasicek Parameter Est (MLE)'!$L$2</definedName>
    <definedName name="solver_pre" localSheetId="4" hidden="1">0.000001</definedName>
    <definedName name="solver_pre" localSheetId="2" hidden="1">0.000001</definedName>
    <definedName name="solver_rbv" localSheetId="4" hidden="1">1</definedName>
    <definedName name="solver_rbv" localSheetId="2" hidden="1">1</definedName>
    <definedName name="solver_rel1" localSheetId="4" hidden="1">3</definedName>
    <definedName name="solver_rel1" localSheetId="2" hidden="1">3</definedName>
    <definedName name="solver_rel2" localSheetId="4" hidden="1">3</definedName>
    <definedName name="solver_rel2" localSheetId="2" hidden="1">3</definedName>
    <definedName name="solver_rel3" localSheetId="4" hidden="1">3</definedName>
    <definedName name="solver_rhs1" localSheetId="4" hidden="1">0</definedName>
    <definedName name="solver_rhs1" localSheetId="2" hidden="1">0</definedName>
    <definedName name="solver_rhs2" localSheetId="4" hidden="1">0</definedName>
    <definedName name="solver_rhs2" localSheetId="2" hidden="1">0</definedName>
    <definedName name="solver_rhs3" localSheetId="4" hidden="1">0</definedName>
    <definedName name="solver_rlx" localSheetId="4" hidden="1">2</definedName>
    <definedName name="solver_rlx" localSheetId="2" hidden="1">2</definedName>
    <definedName name="solver_rsd" localSheetId="4" hidden="1">0</definedName>
    <definedName name="solver_rsd" localSheetId="2" hidden="1">0</definedName>
    <definedName name="solver_scl" localSheetId="4" hidden="1">1</definedName>
    <definedName name="solver_scl" localSheetId="2" hidden="1">1</definedName>
    <definedName name="solver_sho" localSheetId="4" hidden="1">2</definedName>
    <definedName name="solver_sho" localSheetId="2" hidden="1">2</definedName>
    <definedName name="solver_ssz" localSheetId="4" hidden="1">100</definedName>
    <definedName name="solver_ssz" localSheetId="2" hidden="1">100</definedName>
    <definedName name="solver_tim" localSheetId="4" hidden="1">2147483647</definedName>
    <definedName name="solver_tim" localSheetId="2" hidden="1">2147483647</definedName>
    <definedName name="solver_tol" localSheetId="4" hidden="1">0.01</definedName>
    <definedName name="solver_tol" localSheetId="2" hidden="1">0.01</definedName>
    <definedName name="solver_typ" localSheetId="4" hidden="1">1</definedName>
    <definedName name="solver_typ" localSheetId="2" hidden="1">1</definedName>
    <definedName name="solver_val" localSheetId="4" hidden="1">0</definedName>
    <definedName name="solver_val" localSheetId="2" hidden="1">0</definedName>
    <definedName name="solver_ver" localSheetId="4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G2" i="4" l="1"/>
  <c r="P4" i="4"/>
  <c r="A9" i="5"/>
  <c r="B6" i="5"/>
  <c r="N2" i="6"/>
  <c r="N3" i="6" s="1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M2" i="6"/>
  <c r="M3" i="6" s="1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M129" i="6" s="1"/>
  <c r="M130" i="6" s="1"/>
  <c r="M131" i="6" s="1"/>
  <c r="M132" i="6" s="1"/>
  <c r="M133" i="6" s="1"/>
  <c r="M134" i="6" s="1"/>
  <c r="M135" i="6" s="1"/>
  <c r="M136" i="6" s="1"/>
  <c r="M137" i="6" s="1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M161" i="6" s="1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M217" i="6" s="1"/>
  <c r="M218" i="6" s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L2" i="6"/>
  <c r="L3" i="6" s="1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L129" i="6" s="1"/>
  <c r="L130" i="6" s="1"/>
  <c r="L131" i="6" s="1"/>
  <c r="L132" i="6" s="1"/>
  <c r="L133" i="6" s="1"/>
  <c r="L134" i="6" s="1"/>
  <c r="L135" i="6" s="1"/>
  <c r="L136" i="6" s="1"/>
  <c r="L137" i="6" s="1"/>
  <c r="L138" i="6" s="1"/>
  <c r="L139" i="6" s="1"/>
  <c r="L140" i="6" s="1"/>
  <c r="L141" i="6" s="1"/>
  <c r="L142" i="6" s="1"/>
  <c r="L143" i="6" s="1"/>
  <c r="L144" i="6" s="1"/>
  <c r="L145" i="6" s="1"/>
  <c r="L146" i="6" s="1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L162" i="6" s="1"/>
  <c r="L163" i="6" s="1"/>
  <c r="L164" i="6" s="1"/>
  <c r="L165" i="6" s="1"/>
  <c r="L166" i="6" s="1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L231" i="6" s="1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L248" i="6" s="1"/>
  <c r="L249" i="6" s="1"/>
  <c r="L250" i="6" s="1"/>
  <c r="L251" i="6" s="1"/>
  <c r="L252" i="6" s="1"/>
  <c r="L253" i="6" s="1"/>
  <c r="L254" i="6" s="1"/>
  <c r="L255" i="6" s="1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J2" i="6"/>
  <c r="J3" i="6" s="1"/>
  <c r="J4" i="6" s="1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I2" i="6"/>
  <c r="I3" i="6" s="1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H2" i="6"/>
  <c r="H3" i="6" s="1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G2" i="6"/>
  <c r="G3" i="6" s="1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F2" i="6"/>
  <c r="F3" i="6" s="1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E2" i="6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N2" i="5"/>
  <c r="N3" i="5" s="1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M2" i="5"/>
  <c r="M3" i="5" s="1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L2" i="5"/>
  <c r="L3" i="5" s="1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K2" i="5"/>
  <c r="J2" i="5"/>
  <c r="I2" i="5"/>
  <c r="H2" i="5"/>
  <c r="H3" i="5" s="1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F2" i="5"/>
  <c r="F3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E2" i="5"/>
  <c r="E3" i="5" s="1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D253" i="4"/>
  <c r="D252" i="4"/>
  <c r="F251" i="4"/>
  <c r="E251" i="4"/>
  <c r="D251" i="4"/>
  <c r="G250" i="4"/>
  <c r="D250" i="4"/>
  <c r="D249" i="4"/>
  <c r="D248" i="4"/>
  <c r="D247" i="4"/>
  <c r="D246" i="4"/>
  <c r="D245" i="4"/>
  <c r="G244" i="4"/>
  <c r="D244" i="4"/>
  <c r="D243" i="4"/>
  <c r="D242" i="4"/>
  <c r="D241" i="4"/>
  <c r="D240" i="4"/>
  <c r="E239" i="4"/>
  <c r="D239" i="4"/>
  <c r="G238" i="4" s="1"/>
  <c r="F238" i="4"/>
  <c r="H238" i="4" s="1"/>
  <c r="I238" i="4" s="1"/>
  <c r="J238" i="4" s="1"/>
  <c r="D238" i="4"/>
  <c r="G237" i="4" s="1"/>
  <c r="D237" i="4"/>
  <c r="D236" i="4"/>
  <c r="G235" i="4" s="1"/>
  <c r="D235" i="4"/>
  <c r="D234" i="4"/>
  <c r="E234" i="4" s="1"/>
  <c r="D233" i="4"/>
  <c r="G232" i="4" s="1"/>
  <c r="D232" i="4"/>
  <c r="F232" i="4" s="1"/>
  <c r="G231" i="4"/>
  <c r="D231" i="4"/>
  <c r="D230" i="4"/>
  <c r="D229" i="4"/>
  <c r="D228" i="4"/>
  <c r="D227" i="4"/>
  <c r="F227" i="4" s="1"/>
  <c r="D226" i="4"/>
  <c r="E225" i="4"/>
  <c r="D225" i="4"/>
  <c r="D224" i="4"/>
  <c r="F223" i="4" s="1"/>
  <c r="D223" i="4"/>
  <c r="D222" i="4"/>
  <c r="F222" i="4" s="1"/>
  <c r="G221" i="4"/>
  <c r="E221" i="4"/>
  <c r="D221" i="4"/>
  <c r="D220" i="4"/>
  <c r="E219" i="4"/>
  <c r="D219" i="4"/>
  <c r="G218" i="4"/>
  <c r="D218" i="4"/>
  <c r="F218" i="4" s="1"/>
  <c r="D217" i="4"/>
  <c r="D216" i="4"/>
  <c r="D215" i="4"/>
  <c r="D214" i="4"/>
  <c r="G213" i="4"/>
  <c r="D213" i="4"/>
  <c r="D212" i="4"/>
  <c r="G211" i="4"/>
  <c r="D211" i="4"/>
  <c r="D210" i="4"/>
  <c r="D209" i="4"/>
  <c r="F208" i="4"/>
  <c r="E208" i="4"/>
  <c r="D208" i="4"/>
  <c r="D207" i="4"/>
  <c r="F206" i="4"/>
  <c r="D206" i="4"/>
  <c r="D205" i="4"/>
  <c r="G204" i="4"/>
  <c r="D204" i="4"/>
  <c r="D203" i="4"/>
  <c r="E202" i="4" s="1"/>
  <c r="D202" i="4"/>
  <c r="D201" i="4"/>
  <c r="D200" i="4"/>
  <c r="D199" i="4"/>
  <c r="F198" i="4" s="1"/>
  <c r="D198" i="4"/>
  <c r="D197" i="4"/>
  <c r="G196" i="4"/>
  <c r="D196" i="4"/>
  <c r="G195" i="4" s="1"/>
  <c r="D195" i="4"/>
  <c r="E195" i="4" s="1"/>
  <c r="G194" i="4"/>
  <c r="D194" i="4"/>
  <c r="D193" i="4"/>
  <c r="D192" i="4"/>
  <c r="D191" i="4"/>
  <c r="D190" i="4"/>
  <c r="D189" i="4"/>
  <c r="D188" i="4"/>
  <c r="G187" i="4" s="1"/>
  <c r="D187" i="4"/>
  <c r="D186" i="4"/>
  <c r="D185" i="4"/>
  <c r="F185" i="4" s="1"/>
  <c r="D184" i="4"/>
  <c r="G183" i="4"/>
  <c r="D183" i="4"/>
  <c r="D182" i="4"/>
  <c r="G181" i="4"/>
  <c r="D181" i="4"/>
  <c r="D180" i="4"/>
  <c r="D179" i="4"/>
  <c r="E179" i="4" s="1"/>
  <c r="G178" i="4"/>
  <c r="D178" i="4"/>
  <c r="E177" i="4"/>
  <c r="D177" i="4"/>
  <c r="D176" i="4"/>
  <c r="D175" i="4"/>
  <c r="D174" i="4"/>
  <c r="G173" i="4"/>
  <c r="E173" i="4"/>
  <c r="D173" i="4"/>
  <c r="G172" i="4"/>
  <c r="D172" i="4"/>
  <c r="G171" i="4" s="1"/>
  <c r="D171" i="4"/>
  <c r="F171" i="4" s="1"/>
  <c r="D170" i="4"/>
  <c r="G169" i="4"/>
  <c r="D169" i="4"/>
  <c r="D168" i="4"/>
  <c r="G167" i="4" s="1"/>
  <c r="D167" i="4"/>
  <c r="D166" i="4"/>
  <c r="D165" i="4"/>
  <c r="F164" i="4"/>
  <c r="D164" i="4"/>
  <c r="F163" i="4" s="1"/>
  <c r="G163" i="4"/>
  <c r="E163" i="4"/>
  <c r="D163" i="4"/>
  <c r="G162" i="4" s="1"/>
  <c r="D162" i="4"/>
  <c r="F162" i="4" s="1"/>
  <c r="D161" i="4"/>
  <c r="F161" i="4" s="1"/>
  <c r="D160" i="4"/>
  <c r="D159" i="4"/>
  <c r="D158" i="4"/>
  <c r="D157" i="4"/>
  <c r="D156" i="4"/>
  <c r="G155" i="4"/>
  <c r="D155" i="4"/>
  <c r="F155" i="4" s="1"/>
  <c r="D154" i="4"/>
  <c r="D153" i="4"/>
  <c r="D152" i="4"/>
  <c r="G151" i="4" s="1"/>
  <c r="D151" i="4"/>
  <c r="D150" i="4"/>
  <c r="F149" i="4"/>
  <c r="D149" i="4"/>
  <c r="G148" i="4" s="1"/>
  <c r="D148" i="4"/>
  <c r="D147" i="4"/>
  <c r="G146" i="4"/>
  <c r="D146" i="4"/>
  <c r="D145" i="4"/>
  <c r="D144" i="4"/>
  <c r="D143" i="4"/>
  <c r="G142" i="4" s="1"/>
  <c r="D142" i="4"/>
  <c r="D141" i="4"/>
  <c r="G140" i="4" s="1"/>
  <c r="F140" i="4"/>
  <c r="E140" i="4"/>
  <c r="D140" i="4"/>
  <c r="G139" i="4" s="1"/>
  <c r="D139" i="4"/>
  <c r="G138" i="4"/>
  <c r="D138" i="4"/>
  <c r="G137" i="4" s="1"/>
  <c r="E137" i="4"/>
  <c r="D137" i="4"/>
  <c r="D136" i="4"/>
  <c r="F136" i="4" s="1"/>
  <c r="D135" i="4"/>
  <c r="E135" i="4" s="1"/>
  <c r="D134" i="4"/>
  <c r="D133" i="4"/>
  <c r="F132" i="4"/>
  <c r="D132" i="4"/>
  <c r="G131" i="4"/>
  <c r="D131" i="4"/>
  <c r="G130" i="4" s="1"/>
  <c r="D130" i="4"/>
  <c r="E129" i="4" s="1"/>
  <c r="G129" i="4"/>
  <c r="D129" i="4"/>
  <c r="D128" i="4"/>
  <c r="D127" i="4"/>
  <c r="D126" i="4"/>
  <c r="G125" i="4" s="1"/>
  <c r="D125" i="4"/>
  <c r="G124" i="4" s="1"/>
  <c r="D124" i="4"/>
  <c r="G123" i="4"/>
  <c r="E123" i="4"/>
  <c r="D123" i="4"/>
  <c r="F123" i="4" s="1"/>
  <c r="D122" i="4"/>
  <c r="G121" i="4" s="1"/>
  <c r="F121" i="4"/>
  <c r="D121" i="4"/>
  <c r="E121" i="4" s="1"/>
  <c r="D120" i="4"/>
  <c r="D119" i="4"/>
  <c r="G118" i="4"/>
  <c r="D118" i="4"/>
  <c r="G117" i="4" s="1"/>
  <c r="D117" i="4"/>
  <c r="G116" i="4" s="1"/>
  <c r="F116" i="4"/>
  <c r="D116" i="4"/>
  <c r="G115" i="4"/>
  <c r="E115" i="4"/>
  <c r="D115" i="4"/>
  <c r="G114" i="4" s="1"/>
  <c r="D114" i="4"/>
  <c r="F114" i="4" s="1"/>
  <c r="G113" i="4"/>
  <c r="D113" i="4"/>
  <c r="F113" i="4" s="1"/>
  <c r="D112" i="4"/>
  <c r="D111" i="4"/>
  <c r="D110" i="4"/>
  <c r="G109" i="4"/>
  <c r="F109" i="4"/>
  <c r="D109" i="4"/>
  <c r="G108" i="4" s="1"/>
  <c r="F108" i="4"/>
  <c r="H108" i="4" s="1"/>
  <c r="I108" i="4" s="1"/>
  <c r="J108" i="4" s="1"/>
  <c r="E108" i="4"/>
  <c r="D108" i="4"/>
  <c r="G107" i="4"/>
  <c r="D107" i="4"/>
  <c r="F107" i="4" s="1"/>
  <c r="D106" i="4"/>
  <c r="D105" i="4"/>
  <c r="D104" i="4"/>
  <c r="E103" i="4"/>
  <c r="D103" i="4"/>
  <c r="D102" i="4"/>
  <c r="G101" i="4"/>
  <c r="D101" i="4"/>
  <c r="D100" i="4"/>
  <c r="E99" i="4"/>
  <c r="D99" i="4"/>
  <c r="D98" i="4"/>
  <c r="G97" i="4"/>
  <c r="D97" i="4"/>
  <c r="F97" i="4" s="1"/>
  <c r="D96" i="4"/>
  <c r="D95" i="4"/>
  <c r="G94" i="4" s="1"/>
  <c r="D94" i="4"/>
  <c r="D93" i="4"/>
  <c r="G92" i="4" s="1"/>
  <c r="D92" i="4"/>
  <c r="F92" i="4" s="1"/>
  <c r="G91" i="4"/>
  <c r="D91" i="4"/>
  <c r="D90" i="4"/>
  <c r="F89" i="4"/>
  <c r="E89" i="4"/>
  <c r="D89" i="4"/>
  <c r="G88" i="4"/>
  <c r="D88" i="4"/>
  <c r="D87" i="4"/>
  <c r="G86" i="4" s="1"/>
  <c r="D86" i="4"/>
  <c r="D85" i="4"/>
  <c r="G84" i="4" s="1"/>
  <c r="F84" i="4"/>
  <c r="E84" i="4"/>
  <c r="D84" i="4"/>
  <c r="G83" i="4"/>
  <c r="D83" i="4"/>
  <c r="G82" i="4" s="1"/>
  <c r="D82" i="4"/>
  <c r="G81" i="4"/>
  <c r="E81" i="4"/>
  <c r="D81" i="4"/>
  <c r="D80" i="4"/>
  <c r="D79" i="4"/>
  <c r="E79" i="4" s="1"/>
  <c r="G78" i="4"/>
  <c r="D78" i="4"/>
  <c r="G77" i="4"/>
  <c r="D77" i="4"/>
  <c r="D76" i="4"/>
  <c r="G75" i="4"/>
  <c r="D75" i="4"/>
  <c r="D74" i="4"/>
  <c r="G73" i="4" s="1"/>
  <c r="D73" i="4"/>
  <c r="G72" i="4"/>
  <c r="D72" i="4"/>
  <c r="G71" i="4" s="1"/>
  <c r="D71" i="4"/>
  <c r="D70" i="4"/>
  <c r="G69" i="4" s="1"/>
  <c r="D69" i="4"/>
  <c r="F68" i="4"/>
  <c r="D68" i="4"/>
  <c r="E68" i="4" s="1"/>
  <c r="G67" i="4"/>
  <c r="D67" i="4"/>
  <c r="D66" i="4"/>
  <c r="F66" i="4" s="1"/>
  <c r="D65" i="4"/>
  <c r="G64" i="4"/>
  <c r="D64" i="4"/>
  <c r="G63" i="4" s="1"/>
  <c r="D63" i="4"/>
  <c r="E63" i="4" s="1"/>
  <c r="D62" i="4"/>
  <c r="G61" i="4" s="1"/>
  <c r="D61" i="4"/>
  <c r="D60" i="4"/>
  <c r="G59" i="4"/>
  <c r="D59" i="4"/>
  <c r="F59" i="4" s="1"/>
  <c r="G58" i="4"/>
  <c r="D58" i="4"/>
  <c r="D57" i="4"/>
  <c r="G56" i="4" s="1"/>
  <c r="D56" i="4"/>
  <c r="D55" i="4"/>
  <c r="D54" i="4"/>
  <c r="F53" i="4" s="1"/>
  <c r="G53" i="4"/>
  <c r="D53" i="4"/>
  <c r="E52" i="4"/>
  <c r="D52" i="4"/>
  <c r="F52" i="4" s="1"/>
  <c r="G51" i="4"/>
  <c r="D51" i="4"/>
  <c r="D50" i="4"/>
  <c r="D49" i="4"/>
  <c r="G48" i="4"/>
  <c r="D48" i="4"/>
  <c r="G47" i="4" s="1"/>
  <c r="D47" i="4"/>
  <c r="D46" i="4"/>
  <c r="G45" i="4"/>
  <c r="D45" i="4"/>
  <c r="G44" i="4" s="1"/>
  <c r="D44" i="4"/>
  <c r="G43" i="4" s="1"/>
  <c r="D43" i="4"/>
  <c r="F43" i="4" s="1"/>
  <c r="D42" i="4"/>
  <c r="G41" i="4" s="1"/>
  <c r="F41" i="4"/>
  <c r="D41" i="4"/>
  <c r="G40" i="4" s="1"/>
  <c r="D40" i="4"/>
  <c r="D39" i="4"/>
  <c r="G38" i="4"/>
  <c r="D38" i="4"/>
  <c r="D37" i="4"/>
  <c r="G36" i="4" s="1"/>
  <c r="D36" i="4"/>
  <c r="F36" i="4" s="1"/>
  <c r="H36" i="4" s="1"/>
  <c r="I36" i="4" s="1"/>
  <c r="J36" i="4" s="1"/>
  <c r="G35" i="4"/>
  <c r="E35" i="4"/>
  <c r="D35" i="4"/>
  <c r="D34" i="4"/>
  <c r="G33" i="4"/>
  <c r="D33" i="4"/>
  <c r="F33" i="4" s="1"/>
  <c r="G32" i="4"/>
  <c r="E32" i="4"/>
  <c r="D32" i="4"/>
  <c r="D31" i="4"/>
  <c r="G30" i="4"/>
  <c r="D30" i="4"/>
  <c r="D29" i="4"/>
  <c r="G28" i="4" s="1"/>
  <c r="E28" i="4"/>
  <c r="D28" i="4"/>
  <c r="D27" i="4"/>
  <c r="E27" i="4" s="1"/>
  <c r="D26" i="4"/>
  <c r="G25" i="4"/>
  <c r="D25" i="4"/>
  <c r="G24" i="4" s="1"/>
  <c r="D24" i="4"/>
  <c r="E24" i="4" s="1"/>
  <c r="D23" i="4"/>
  <c r="G22" i="4" s="1"/>
  <c r="D22" i="4"/>
  <c r="D21" i="4"/>
  <c r="D20" i="4"/>
  <c r="G19" i="4"/>
  <c r="D19" i="4"/>
  <c r="E19" i="4" s="1"/>
  <c r="G18" i="4"/>
  <c r="D18" i="4"/>
  <c r="G17" i="4" s="1"/>
  <c r="D17" i="4"/>
  <c r="G16" i="4"/>
  <c r="D16" i="4"/>
  <c r="D15" i="4"/>
  <c r="E15" i="4" s="1"/>
  <c r="G14" i="4"/>
  <c r="D14" i="4"/>
  <c r="G13" i="4" s="1"/>
  <c r="D13" i="4"/>
  <c r="G12" i="4" s="1"/>
  <c r="D12" i="4"/>
  <c r="D11" i="4"/>
  <c r="D10" i="4"/>
  <c r="G9" i="4" s="1"/>
  <c r="D9" i="4"/>
  <c r="F9" i="4" s="1"/>
  <c r="G8" i="4"/>
  <c r="D8" i="4"/>
  <c r="O7" i="4"/>
  <c r="G89" i="4" s="1"/>
  <c r="D7" i="4"/>
  <c r="G6" i="4" s="1"/>
  <c r="D6" i="4"/>
  <c r="O5" i="4"/>
  <c r="D5" i="4"/>
  <c r="D4" i="4"/>
  <c r="D3" i="4"/>
  <c r="D2" i="4"/>
  <c r="D253" i="3"/>
  <c r="D252" i="3"/>
  <c r="E252" i="3" s="1"/>
  <c r="D251" i="3"/>
  <c r="D250" i="3"/>
  <c r="F249" i="3"/>
  <c r="E249" i="3"/>
  <c r="D249" i="3"/>
  <c r="D248" i="3"/>
  <c r="D247" i="3"/>
  <c r="D246" i="3"/>
  <c r="D245" i="3"/>
  <c r="D244" i="3"/>
  <c r="D243" i="3"/>
  <c r="F242" i="3"/>
  <c r="D242" i="3"/>
  <c r="F241" i="3" s="1"/>
  <c r="D241" i="3"/>
  <c r="D240" i="3"/>
  <c r="D239" i="3"/>
  <c r="G238" i="3" s="1"/>
  <c r="D238" i="3"/>
  <c r="D237" i="3"/>
  <c r="D236" i="3"/>
  <c r="D235" i="3"/>
  <c r="D234" i="3"/>
  <c r="D233" i="3"/>
  <c r="F233" i="3" s="1"/>
  <c r="D232" i="3"/>
  <c r="D231" i="3"/>
  <c r="G230" i="3" s="1"/>
  <c r="D230" i="3"/>
  <c r="D229" i="3"/>
  <c r="D228" i="3"/>
  <c r="E228" i="3" s="1"/>
  <c r="D227" i="3"/>
  <c r="D226" i="3"/>
  <c r="E225" i="3"/>
  <c r="D225" i="3"/>
  <c r="F225" i="3" s="1"/>
  <c r="D224" i="3"/>
  <c r="F223" i="3"/>
  <c r="D223" i="3"/>
  <c r="D222" i="3"/>
  <c r="D221" i="3"/>
  <c r="F221" i="3" s="1"/>
  <c r="D220" i="3"/>
  <c r="E220" i="3" s="1"/>
  <c r="D219" i="3"/>
  <c r="D218" i="3"/>
  <c r="F217" i="3"/>
  <c r="D217" i="3"/>
  <c r="E217" i="3" s="1"/>
  <c r="D216" i="3"/>
  <c r="D215" i="3"/>
  <c r="D214" i="3"/>
  <c r="D213" i="3"/>
  <c r="F213" i="3" s="1"/>
  <c r="D212" i="3"/>
  <c r="D211" i="3"/>
  <c r="D210" i="3"/>
  <c r="D209" i="3"/>
  <c r="G208" i="3"/>
  <c r="D208" i="3"/>
  <c r="D207" i="3"/>
  <c r="D206" i="3"/>
  <c r="F205" i="3"/>
  <c r="E205" i="3"/>
  <c r="D205" i="3"/>
  <c r="D204" i="3"/>
  <c r="D203" i="3"/>
  <c r="D202" i="3"/>
  <c r="D201" i="3"/>
  <c r="F201" i="3" s="1"/>
  <c r="D200" i="3"/>
  <c r="D199" i="3"/>
  <c r="G198" i="3"/>
  <c r="D198" i="3"/>
  <c r="F198" i="3" s="1"/>
  <c r="D197" i="3"/>
  <c r="D196" i="3"/>
  <c r="D195" i="3"/>
  <c r="D194" i="3"/>
  <c r="F193" i="3"/>
  <c r="D193" i="3"/>
  <c r="E193" i="3" s="1"/>
  <c r="D192" i="3"/>
  <c r="F192" i="3" s="1"/>
  <c r="D191" i="3"/>
  <c r="D190" i="3"/>
  <c r="F189" i="3"/>
  <c r="D189" i="3"/>
  <c r="D188" i="3"/>
  <c r="D187" i="3"/>
  <c r="F186" i="3"/>
  <c r="D186" i="3"/>
  <c r="E185" i="3"/>
  <c r="D185" i="3"/>
  <c r="F185" i="3" s="1"/>
  <c r="D184" i="3"/>
  <c r="F184" i="3" s="1"/>
  <c r="D183" i="3"/>
  <c r="D182" i="3"/>
  <c r="D181" i="3"/>
  <c r="D180" i="3"/>
  <c r="D179" i="3"/>
  <c r="G178" i="3" s="1"/>
  <c r="F178" i="3"/>
  <c r="D178" i="3"/>
  <c r="D177" i="3"/>
  <c r="F177" i="3" s="1"/>
  <c r="D176" i="3"/>
  <c r="F176" i="3" s="1"/>
  <c r="F175" i="3"/>
  <c r="D175" i="3"/>
  <c r="F174" i="3"/>
  <c r="D174" i="3"/>
  <c r="D173" i="3"/>
  <c r="D172" i="3"/>
  <c r="D171" i="3"/>
  <c r="D170" i="3"/>
  <c r="F169" i="3"/>
  <c r="D169" i="3"/>
  <c r="D168" i="3"/>
  <c r="D167" i="3"/>
  <c r="D166" i="3"/>
  <c r="D165" i="3"/>
  <c r="D164" i="3"/>
  <c r="D163" i="3"/>
  <c r="D162" i="3"/>
  <c r="D161" i="3"/>
  <c r="F161" i="3" s="1"/>
  <c r="D160" i="3"/>
  <c r="D159" i="3"/>
  <c r="E158" i="3" s="1"/>
  <c r="F158" i="3"/>
  <c r="D158" i="3"/>
  <c r="D157" i="3"/>
  <c r="F157" i="3" s="1"/>
  <c r="D156" i="3"/>
  <c r="D155" i="3"/>
  <c r="F154" i="3"/>
  <c r="D154" i="3"/>
  <c r="F153" i="3"/>
  <c r="D153" i="3"/>
  <c r="D152" i="3"/>
  <c r="F152" i="3" s="1"/>
  <c r="D151" i="3"/>
  <c r="F151" i="3" s="1"/>
  <c r="D150" i="3"/>
  <c r="F149" i="3" s="1"/>
  <c r="E149" i="3"/>
  <c r="D149" i="3"/>
  <c r="D148" i="3"/>
  <c r="D147" i="3"/>
  <c r="D146" i="3"/>
  <c r="G145" i="3" s="1"/>
  <c r="D145" i="3"/>
  <c r="D144" i="3"/>
  <c r="F144" i="3" s="1"/>
  <c r="D143" i="3"/>
  <c r="F143" i="3" s="1"/>
  <c r="D142" i="3"/>
  <c r="F142" i="3" s="1"/>
  <c r="F141" i="3"/>
  <c r="E141" i="3"/>
  <c r="D141" i="3"/>
  <c r="D140" i="3"/>
  <c r="D139" i="3"/>
  <c r="D138" i="3"/>
  <c r="D137" i="3"/>
  <c r="F137" i="3" s="1"/>
  <c r="D136" i="3"/>
  <c r="D135" i="3"/>
  <c r="F134" i="3"/>
  <c r="D134" i="3"/>
  <c r="E134" i="3" s="1"/>
  <c r="D133" i="3"/>
  <c r="D132" i="3"/>
  <c r="D131" i="3"/>
  <c r="G130" i="3"/>
  <c r="D130" i="3"/>
  <c r="F129" i="3"/>
  <c r="D129" i="3"/>
  <c r="E129" i="3" s="1"/>
  <c r="D128" i="3"/>
  <c r="F128" i="3" s="1"/>
  <c r="D127" i="3"/>
  <c r="D126" i="3"/>
  <c r="F125" i="3" s="1"/>
  <c r="D125" i="3"/>
  <c r="D124" i="3"/>
  <c r="D123" i="3"/>
  <c r="F122" i="3"/>
  <c r="D122" i="3"/>
  <c r="F121" i="3"/>
  <c r="E121" i="3"/>
  <c r="D121" i="3"/>
  <c r="D120" i="3"/>
  <c r="D119" i="3"/>
  <c r="F119" i="3" s="1"/>
  <c r="D118" i="3"/>
  <c r="F117" i="3"/>
  <c r="D117" i="3"/>
  <c r="E117" i="3" s="1"/>
  <c r="E116" i="3"/>
  <c r="D116" i="3"/>
  <c r="D115" i="3"/>
  <c r="F114" i="3"/>
  <c r="D114" i="3"/>
  <c r="E114" i="3" s="1"/>
  <c r="F113" i="3"/>
  <c r="D113" i="3"/>
  <c r="D112" i="3"/>
  <c r="D111" i="3"/>
  <c r="F111" i="3" s="1"/>
  <c r="G110" i="3"/>
  <c r="F110" i="3"/>
  <c r="D110" i="3"/>
  <c r="D109" i="3"/>
  <c r="D108" i="3"/>
  <c r="D107" i="3"/>
  <c r="D106" i="3"/>
  <c r="F105" i="3"/>
  <c r="D105" i="3"/>
  <c r="E105" i="3" s="1"/>
  <c r="D104" i="3"/>
  <c r="D103" i="3"/>
  <c r="D102" i="3"/>
  <c r="D101" i="3"/>
  <c r="D100" i="3"/>
  <c r="F100" i="3" s="1"/>
  <c r="D99" i="3"/>
  <c r="D98" i="3"/>
  <c r="G97" i="3" s="1"/>
  <c r="D97" i="3"/>
  <c r="D96" i="3"/>
  <c r="D95" i="3"/>
  <c r="E94" i="3"/>
  <c r="D94" i="3"/>
  <c r="F94" i="3" s="1"/>
  <c r="F93" i="3"/>
  <c r="E93" i="3"/>
  <c r="D93" i="3"/>
  <c r="D92" i="3"/>
  <c r="D91" i="3"/>
  <c r="D90" i="3"/>
  <c r="D89" i="3"/>
  <c r="D88" i="3"/>
  <c r="D87" i="3"/>
  <c r="G86" i="3"/>
  <c r="D86" i="3"/>
  <c r="E85" i="3"/>
  <c r="D85" i="3"/>
  <c r="F85" i="3" s="1"/>
  <c r="D84" i="3"/>
  <c r="D83" i="3"/>
  <c r="D82" i="3"/>
  <c r="D81" i="3"/>
  <c r="E81" i="3" s="1"/>
  <c r="D80" i="3"/>
  <c r="G79" i="3" s="1"/>
  <c r="D79" i="3"/>
  <c r="F78" i="3"/>
  <c r="E78" i="3"/>
  <c r="D78" i="3"/>
  <c r="F77" i="3"/>
  <c r="E77" i="3"/>
  <c r="D77" i="3"/>
  <c r="D76" i="3"/>
  <c r="E76" i="3" s="1"/>
  <c r="F75" i="3"/>
  <c r="D75" i="3"/>
  <c r="D74" i="3"/>
  <c r="F74" i="3" s="1"/>
  <c r="D73" i="3"/>
  <c r="E73" i="3" s="1"/>
  <c r="D72" i="3"/>
  <c r="G71" i="3" s="1"/>
  <c r="D71" i="3"/>
  <c r="D70" i="3"/>
  <c r="D69" i="3"/>
  <c r="F69" i="3" s="1"/>
  <c r="D68" i="3"/>
  <c r="D67" i="3"/>
  <c r="D66" i="3"/>
  <c r="D65" i="3"/>
  <c r="E65" i="3" s="1"/>
  <c r="D64" i="3"/>
  <c r="G63" i="3" s="1"/>
  <c r="D63" i="3"/>
  <c r="F62" i="3"/>
  <c r="D62" i="3"/>
  <c r="D61" i="3"/>
  <c r="F61" i="3" s="1"/>
  <c r="G60" i="3"/>
  <c r="F60" i="3"/>
  <c r="D60" i="3"/>
  <c r="D59" i="3"/>
  <c r="D58" i="3"/>
  <c r="D57" i="3"/>
  <c r="D56" i="3"/>
  <c r="G55" i="3"/>
  <c r="D55" i="3"/>
  <c r="F55" i="3" s="1"/>
  <c r="H55" i="3" s="1"/>
  <c r="I55" i="3" s="1"/>
  <c r="J55" i="3" s="1"/>
  <c r="D54" i="3"/>
  <c r="F53" i="3"/>
  <c r="D53" i="3"/>
  <c r="E53" i="3" s="1"/>
  <c r="D52" i="3"/>
  <c r="D51" i="3"/>
  <c r="G50" i="3" s="1"/>
  <c r="D50" i="3"/>
  <c r="D49" i="3"/>
  <c r="D48" i="3"/>
  <c r="D47" i="3"/>
  <c r="F47" i="3" s="1"/>
  <c r="F46" i="3"/>
  <c r="E46" i="3"/>
  <c r="D46" i="3"/>
  <c r="F45" i="3"/>
  <c r="E45" i="3"/>
  <c r="D45" i="3"/>
  <c r="F44" i="3"/>
  <c r="D44" i="3"/>
  <c r="D43" i="3"/>
  <c r="F42" i="3"/>
  <c r="E42" i="3"/>
  <c r="D42" i="3"/>
  <c r="D41" i="3"/>
  <c r="D40" i="3"/>
  <c r="D39" i="3"/>
  <c r="D38" i="3"/>
  <c r="F37" i="3"/>
  <c r="D37" i="3"/>
  <c r="D36" i="3"/>
  <c r="F36" i="3" s="1"/>
  <c r="D35" i="3"/>
  <c r="D34" i="3"/>
  <c r="D33" i="3"/>
  <c r="D32" i="3"/>
  <c r="D31" i="3"/>
  <c r="G30" i="3" s="1"/>
  <c r="D30" i="3"/>
  <c r="D29" i="3"/>
  <c r="D28" i="3"/>
  <c r="F28" i="3" s="1"/>
  <c r="G27" i="3"/>
  <c r="F27" i="3"/>
  <c r="D27" i="3"/>
  <c r="D26" i="3"/>
  <c r="D25" i="3"/>
  <c r="E25" i="3" s="1"/>
  <c r="D24" i="3"/>
  <c r="G23" i="3"/>
  <c r="D23" i="3"/>
  <c r="G22" i="3" s="1"/>
  <c r="D22" i="3"/>
  <c r="F21" i="3"/>
  <c r="D21" i="3"/>
  <c r="E21" i="3" s="1"/>
  <c r="G20" i="3"/>
  <c r="D20" i="3"/>
  <c r="E19" i="3"/>
  <c r="D19" i="3"/>
  <c r="D18" i="3"/>
  <c r="E17" i="3"/>
  <c r="D17" i="3"/>
  <c r="D16" i="3"/>
  <c r="D15" i="3"/>
  <c r="G14" i="3"/>
  <c r="F14" i="3"/>
  <c r="E14" i="3"/>
  <c r="D14" i="3"/>
  <c r="E13" i="3" s="1"/>
  <c r="F13" i="3"/>
  <c r="D13" i="3"/>
  <c r="F12" i="3"/>
  <c r="E12" i="3"/>
  <c r="D12" i="3"/>
  <c r="D11" i="3"/>
  <c r="D10" i="3"/>
  <c r="D9" i="3"/>
  <c r="D8" i="3"/>
  <c r="O7" i="3"/>
  <c r="G78" i="3" s="1"/>
  <c r="D7" i="3"/>
  <c r="D6" i="3"/>
  <c r="O5" i="3"/>
  <c r="D5" i="3"/>
  <c r="D4" i="3"/>
  <c r="D3" i="3"/>
  <c r="G2" i="3" s="1"/>
  <c r="D2" i="3"/>
  <c r="H43" i="4" l="1"/>
  <c r="I43" i="4" s="1"/>
  <c r="J43" i="4" s="1"/>
  <c r="H92" i="4"/>
  <c r="I92" i="4" s="1"/>
  <c r="J92" i="4" s="1"/>
  <c r="H114" i="4"/>
  <c r="I114" i="4" s="1"/>
  <c r="J114" i="4" s="1"/>
  <c r="H140" i="4"/>
  <c r="I140" i="4" s="1"/>
  <c r="J140" i="4" s="1"/>
  <c r="H232" i="4"/>
  <c r="I232" i="4" s="1"/>
  <c r="J232" i="4" s="1"/>
  <c r="H59" i="4"/>
  <c r="I59" i="4" s="1"/>
  <c r="J59" i="4" s="1"/>
  <c r="H113" i="4"/>
  <c r="I113" i="4" s="1"/>
  <c r="J113" i="4" s="1"/>
  <c r="H123" i="4"/>
  <c r="I123" i="4" s="1"/>
  <c r="J123" i="4" s="1"/>
  <c r="H116" i="4"/>
  <c r="I116" i="4" s="1"/>
  <c r="J116" i="4" s="1"/>
  <c r="H107" i="4"/>
  <c r="I107" i="4" s="1"/>
  <c r="J107" i="4" s="1"/>
  <c r="H84" i="4"/>
  <c r="I84" i="4" s="1"/>
  <c r="J84" i="4" s="1"/>
  <c r="H218" i="4"/>
  <c r="I218" i="4" s="1"/>
  <c r="J218" i="4" s="1"/>
  <c r="H30" i="3"/>
  <c r="I30" i="3" s="1"/>
  <c r="J30" i="3" s="1"/>
  <c r="E250" i="4"/>
  <c r="G249" i="4"/>
  <c r="F250" i="4"/>
  <c r="E3" i="3"/>
  <c r="H12" i="3"/>
  <c r="I12" i="3" s="1"/>
  <c r="J12" i="3" s="1"/>
  <c r="E20" i="3"/>
  <c r="G19" i="3"/>
  <c r="G37" i="3"/>
  <c r="H37" i="3" s="1"/>
  <c r="I37" i="3" s="1"/>
  <c r="J37" i="3" s="1"/>
  <c r="F38" i="3"/>
  <c r="G51" i="3"/>
  <c r="F52" i="3"/>
  <c r="H52" i="3" s="1"/>
  <c r="I52" i="3" s="1"/>
  <c r="J52" i="3" s="1"/>
  <c r="E52" i="3"/>
  <c r="H60" i="3"/>
  <c r="I60" i="3" s="1"/>
  <c r="J60" i="3" s="1"/>
  <c r="F146" i="3"/>
  <c r="F209" i="3"/>
  <c r="E209" i="3"/>
  <c r="E43" i="4"/>
  <c r="F139" i="4"/>
  <c r="H139" i="4" s="1"/>
  <c r="I139" i="4" s="1"/>
  <c r="J139" i="4" s="1"/>
  <c r="E139" i="4"/>
  <c r="F197" i="4"/>
  <c r="F196" i="4"/>
  <c r="H196" i="4" s="1"/>
  <c r="I196" i="4" s="1"/>
  <c r="J196" i="4" s="1"/>
  <c r="F3" i="3"/>
  <c r="G12" i="3"/>
  <c r="G52" i="3"/>
  <c r="E69" i="3"/>
  <c r="E126" i="3"/>
  <c r="E137" i="3"/>
  <c r="E164" i="3"/>
  <c r="G226" i="3"/>
  <c r="G29" i="3"/>
  <c r="E68" i="3"/>
  <c r="G89" i="3"/>
  <c r="G101" i="3"/>
  <c r="H101" i="3" s="1"/>
  <c r="I101" i="3" s="1"/>
  <c r="J101" i="3" s="1"/>
  <c r="F101" i="3"/>
  <c r="E101" i="3"/>
  <c r="H178" i="3"/>
  <c r="I178" i="3" s="1"/>
  <c r="J178" i="3" s="1"/>
  <c r="F207" i="3"/>
  <c r="G206" i="3"/>
  <c r="F12" i="4"/>
  <c r="H12" i="4" s="1"/>
  <c r="I12" i="4" s="1"/>
  <c r="J12" i="4" s="1"/>
  <c r="E12" i="4"/>
  <c r="H41" i="4"/>
  <c r="I41" i="4" s="1"/>
  <c r="J41" i="4" s="1"/>
  <c r="F51" i="4"/>
  <c r="E51" i="4"/>
  <c r="F2" i="3"/>
  <c r="H2" i="3" s="1"/>
  <c r="I2" i="3" s="1"/>
  <c r="J2" i="3" s="1"/>
  <c r="F5" i="3"/>
  <c r="G4" i="3"/>
  <c r="G10" i="3"/>
  <c r="F18" i="3"/>
  <c r="F22" i="3"/>
  <c r="E22" i="3"/>
  <c r="F30" i="3"/>
  <c r="E54" i="3"/>
  <c r="F63" i="3"/>
  <c r="H63" i="3" s="1"/>
  <c r="I63" i="3" s="1"/>
  <c r="J63" i="3" s="1"/>
  <c r="E62" i="3"/>
  <c r="F68" i="3"/>
  <c r="E71" i="3"/>
  <c r="E70" i="3"/>
  <c r="G75" i="3"/>
  <c r="G102" i="3"/>
  <c r="E145" i="3"/>
  <c r="E161" i="3"/>
  <c r="H185" i="3"/>
  <c r="I185" i="3" s="1"/>
  <c r="J185" i="3" s="1"/>
  <c r="F190" i="3"/>
  <c r="E190" i="3"/>
  <c r="E196" i="3"/>
  <c r="E213" i="3"/>
  <c r="G217" i="3"/>
  <c r="F218" i="3"/>
  <c r="G27" i="4"/>
  <c r="F28" i="4"/>
  <c r="H28" i="4" s="1"/>
  <c r="I28" i="4" s="1"/>
  <c r="J28" i="4" s="1"/>
  <c r="F67" i="4"/>
  <c r="H67" i="4" s="1"/>
  <c r="I67" i="4" s="1"/>
  <c r="J67" i="4" s="1"/>
  <c r="G66" i="4"/>
  <c r="H66" i="4" s="1"/>
  <c r="I66" i="4" s="1"/>
  <c r="J66" i="4" s="1"/>
  <c r="G76" i="4"/>
  <c r="E76" i="4"/>
  <c r="F76" i="4"/>
  <c r="F125" i="4"/>
  <c r="G153" i="4"/>
  <c r="E154" i="4"/>
  <c r="E171" i="4"/>
  <c r="E175" i="4"/>
  <c r="F176" i="4"/>
  <c r="E201" i="4"/>
  <c r="F202" i="4"/>
  <c r="G201" i="4"/>
  <c r="H201" i="4" s="1"/>
  <c r="I201" i="4" s="1"/>
  <c r="J201" i="4" s="1"/>
  <c r="F201" i="4"/>
  <c r="F252" i="4"/>
  <c r="G252" i="4"/>
  <c r="H252" i="4" s="1"/>
  <c r="I252" i="4" s="1"/>
  <c r="J252" i="4" s="1"/>
  <c r="F245" i="3"/>
  <c r="E245" i="3"/>
  <c r="G235" i="3"/>
  <c r="G194" i="3"/>
  <c r="G174" i="3"/>
  <c r="G119" i="3"/>
  <c r="H119" i="3" s="1"/>
  <c r="I119" i="3" s="1"/>
  <c r="J119" i="3" s="1"/>
  <c r="G91" i="3"/>
  <c r="G76" i="3"/>
  <c r="G44" i="3"/>
  <c r="G162" i="3"/>
  <c r="G134" i="3"/>
  <c r="G85" i="3"/>
  <c r="G53" i="3"/>
  <c r="H53" i="3" s="1"/>
  <c r="I53" i="3" s="1"/>
  <c r="J53" i="3" s="1"/>
  <c r="G45" i="3"/>
  <c r="H45" i="3" s="1"/>
  <c r="I45" i="3" s="1"/>
  <c r="J45" i="3" s="1"/>
  <c r="G223" i="3"/>
  <c r="G176" i="3"/>
  <c r="H176" i="3" s="1"/>
  <c r="I176" i="3" s="1"/>
  <c r="J176" i="3" s="1"/>
  <c r="G151" i="3"/>
  <c r="G146" i="3"/>
  <c r="G139" i="3"/>
  <c r="G114" i="3"/>
  <c r="H114" i="3" s="1"/>
  <c r="I114" i="3" s="1"/>
  <c r="J114" i="3" s="1"/>
  <c r="E38" i="3"/>
  <c r="G142" i="3"/>
  <c r="E176" i="3"/>
  <c r="G70" i="3"/>
  <c r="H78" i="3"/>
  <c r="I78" i="3" s="1"/>
  <c r="J78" i="3" s="1"/>
  <c r="F84" i="3"/>
  <c r="G83" i="3"/>
  <c r="F109" i="3"/>
  <c r="E109" i="3"/>
  <c r="G144" i="3"/>
  <c r="H144" i="3" s="1"/>
  <c r="I144" i="3" s="1"/>
  <c r="J144" i="3" s="1"/>
  <c r="G166" i="3"/>
  <c r="H223" i="3"/>
  <c r="I223" i="3" s="1"/>
  <c r="J223" i="3" s="1"/>
  <c r="G20" i="4"/>
  <c r="F20" i="4"/>
  <c r="G60" i="4"/>
  <c r="H60" i="4" s="1"/>
  <c r="I60" i="4" s="1"/>
  <c r="J60" i="4" s="1"/>
  <c r="F61" i="4"/>
  <c r="H61" i="4" s="1"/>
  <c r="I61" i="4" s="1"/>
  <c r="J61" i="4" s="1"/>
  <c r="E60" i="4"/>
  <c r="E218" i="4"/>
  <c r="G217" i="4"/>
  <c r="G18" i="3"/>
  <c r="F19" i="3"/>
  <c r="H19" i="3" s="1"/>
  <c r="I19" i="3" s="1"/>
  <c r="J19" i="3" s="1"/>
  <c r="E27" i="3"/>
  <c r="E37" i="3"/>
  <c r="G49" i="3"/>
  <c r="F50" i="3"/>
  <c r="E50" i="3"/>
  <c r="F54" i="3"/>
  <c r="E60" i="3"/>
  <c r="G68" i="3"/>
  <c r="H110" i="3"/>
  <c r="I110" i="3" s="1"/>
  <c r="J110" i="3" s="1"/>
  <c r="F145" i="3"/>
  <c r="E169" i="3"/>
  <c r="G203" i="3"/>
  <c r="E208" i="3"/>
  <c r="G236" i="3"/>
  <c r="G243" i="3"/>
  <c r="F250" i="3"/>
  <c r="H33" i="4"/>
  <c r="I33" i="4" s="1"/>
  <c r="J33" i="4" s="1"/>
  <c r="E42" i="4"/>
  <c r="F47" i="4"/>
  <c r="H47" i="4" s="1"/>
  <c r="I47" i="4" s="1"/>
  <c r="J47" i="4" s="1"/>
  <c r="G46" i="4"/>
  <c r="F58" i="4"/>
  <c r="H58" i="4" s="1"/>
  <c r="I58" i="4" s="1"/>
  <c r="J58" i="4" s="1"/>
  <c r="F103" i="4"/>
  <c r="G102" i="4"/>
  <c r="E116" i="4"/>
  <c r="F148" i="4"/>
  <c r="E148" i="4"/>
  <c r="G147" i="4"/>
  <c r="F154" i="4"/>
  <c r="F177" i="4"/>
  <c r="G176" i="4"/>
  <c r="G212" i="4"/>
  <c r="E213" i="4"/>
  <c r="F230" i="4"/>
  <c r="F249" i="4"/>
  <c r="H249" i="4" s="1"/>
  <c r="I249" i="4" s="1"/>
  <c r="J249" i="4" s="1"/>
  <c r="H145" i="3"/>
  <c r="I145" i="3" s="1"/>
  <c r="J145" i="3" s="1"/>
  <c r="F180" i="3"/>
  <c r="E180" i="3"/>
  <c r="F74" i="4"/>
  <c r="F216" i="3"/>
  <c r="F215" i="3"/>
  <c r="G215" i="3"/>
  <c r="F240" i="3"/>
  <c r="E240" i="3"/>
  <c r="F10" i="4"/>
  <c r="G68" i="4"/>
  <c r="H68" i="4" s="1"/>
  <c r="I68" i="4" s="1"/>
  <c r="J68" i="4" s="1"/>
  <c r="F69" i="4"/>
  <c r="F75" i="4"/>
  <c r="H75" i="4" s="1"/>
  <c r="I75" i="4" s="1"/>
  <c r="J75" i="4" s="1"/>
  <c r="G74" i="4"/>
  <c r="G99" i="4"/>
  <c r="F100" i="4"/>
  <c r="G3" i="3"/>
  <c r="G15" i="3"/>
  <c r="F29" i="3"/>
  <c r="H29" i="3" s="1"/>
  <c r="I29" i="3" s="1"/>
  <c r="J29" i="3" s="1"/>
  <c r="G43" i="3"/>
  <c r="E61" i="3"/>
  <c r="G82" i="3"/>
  <c r="F83" i="3"/>
  <c r="H83" i="3" s="1"/>
  <c r="I83" i="3" s="1"/>
  <c r="J83" i="3" s="1"/>
  <c r="G87" i="3"/>
  <c r="G93" i="3"/>
  <c r="H93" i="3" s="1"/>
  <c r="I93" i="3" s="1"/>
  <c r="J93" i="3" s="1"/>
  <c r="G112" i="3"/>
  <c r="F126" i="3"/>
  <c r="F166" i="3"/>
  <c r="H166" i="3" s="1"/>
  <c r="I166" i="3" s="1"/>
  <c r="J166" i="3" s="1"/>
  <c r="G171" i="3"/>
  <c r="G210" i="3"/>
  <c r="F222" i="3"/>
  <c r="E222" i="3"/>
  <c r="E233" i="3"/>
  <c r="H53" i="4"/>
  <c r="I53" i="4" s="1"/>
  <c r="J53" i="4" s="1"/>
  <c r="E75" i="4"/>
  <c r="E100" i="4"/>
  <c r="E193" i="4"/>
  <c r="G192" i="4"/>
  <c r="E29" i="3"/>
  <c r="G38" i="3"/>
  <c r="E44" i="3"/>
  <c r="F70" i="3"/>
  <c r="H70" i="3" s="1"/>
  <c r="I70" i="3" s="1"/>
  <c r="J70" i="3" s="1"/>
  <c r="E75" i="3"/>
  <c r="E83" i="3"/>
  <c r="G107" i="3"/>
  <c r="E113" i="3"/>
  <c r="E122" i="3"/>
  <c r="E132" i="3"/>
  <c r="G153" i="3"/>
  <c r="H153" i="3" s="1"/>
  <c r="I153" i="3" s="1"/>
  <c r="J153" i="3" s="1"/>
  <c r="F160" i="3"/>
  <c r="E166" i="3"/>
  <c r="F173" i="3"/>
  <c r="E173" i="3"/>
  <c r="G183" i="3"/>
  <c r="E201" i="3"/>
  <c r="F206" i="3"/>
  <c r="G222" i="3"/>
  <c r="G11" i="4"/>
  <c r="F45" i="4"/>
  <c r="H45" i="4" s="1"/>
  <c r="I45" i="4" s="1"/>
  <c r="J45" i="4" s="1"/>
  <c r="G50" i="4"/>
  <c r="F60" i="4"/>
  <c r="F81" i="4"/>
  <c r="G80" i="4"/>
  <c r="E80" i="4"/>
  <c r="H89" i="4"/>
  <c r="I89" i="4" s="1"/>
  <c r="J89" i="4" s="1"/>
  <c r="G106" i="4"/>
  <c r="F186" i="4"/>
  <c r="E186" i="4"/>
  <c r="G185" i="4"/>
  <c r="H185" i="4" s="1"/>
  <c r="I185" i="4" s="1"/>
  <c r="J185" i="4" s="1"/>
  <c r="F194" i="4"/>
  <c r="H194" i="4" s="1"/>
  <c r="I194" i="4" s="1"/>
  <c r="J194" i="4" s="1"/>
  <c r="E205" i="4"/>
  <c r="G205" i="4"/>
  <c r="H205" i="4" s="1"/>
  <c r="I205" i="4" s="1"/>
  <c r="J205" i="4" s="1"/>
  <c r="G218" i="3"/>
  <c r="G39" i="4"/>
  <c r="F40" i="4"/>
  <c r="H40" i="4" s="1"/>
  <c r="I40" i="4" s="1"/>
  <c r="J40" i="4" s="1"/>
  <c r="G103" i="4"/>
  <c r="F104" i="4"/>
  <c r="E104" i="4"/>
  <c r="G127" i="4"/>
  <c r="F128" i="4"/>
  <c r="F4" i="3"/>
  <c r="E15" i="3"/>
  <c r="G25" i="3"/>
  <c r="G33" i="3"/>
  <c r="G94" i="3"/>
  <c r="H94" i="3" s="1"/>
  <c r="I94" i="3" s="1"/>
  <c r="J94" i="3" s="1"/>
  <c r="F181" i="3"/>
  <c r="E181" i="3"/>
  <c r="E198" i="3"/>
  <c r="E241" i="3"/>
  <c r="E9" i="4"/>
  <c r="E20" i="4"/>
  <c r="E25" i="4"/>
  <c r="E33" i="4"/>
  <c r="E36" i="4"/>
  <c r="E40" i="4"/>
  <c r="E44" i="4"/>
  <c r="E48" i="4"/>
  <c r="H51" i="4"/>
  <c r="I51" i="4" s="1"/>
  <c r="J51" i="4" s="1"/>
  <c r="G55" i="4"/>
  <c r="F56" i="4"/>
  <c r="H56" i="4" s="1"/>
  <c r="I56" i="4" s="1"/>
  <c r="J56" i="4" s="1"/>
  <c r="F73" i="4"/>
  <c r="H73" i="4" s="1"/>
  <c r="I73" i="4" s="1"/>
  <c r="J73" i="4" s="1"/>
  <c r="E92" i="4"/>
  <c r="E113" i="4"/>
  <c r="F124" i="4"/>
  <c r="H124" i="4" s="1"/>
  <c r="I124" i="4" s="1"/>
  <c r="J124" i="4" s="1"/>
  <c r="F147" i="4"/>
  <c r="F205" i="4"/>
  <c r="F204" i="4"/>
  <c r="H204" i="4" s="1"/>
  <c r="I204" i="4" s="1"/>
  <c r="J204" i="4" s="1"/>
  <c r="E222" i="4"/>
  <c r="H250" i="4"/>
  <c r="I250" i="4" s="1"/>
  <c r="J250" i="4" s="1"/>
  <c r="E9" i="3"/>
  <c r="G26" i="3"/>
  <c r="F43" i="3"/>
  <c r="H43" i="3" s="1"/>
  <c r="I43" i="3" s="1"/>
  <c r="J43" i="3" s="1"/>
  <c r="G74" i="3"/>
  <c r="H74" i="3" s="1"/>
  <c r="I74" i="3" s="1"/>
  <c r="J74" i="3" s="1"/>
  <c r="G81" i="3"/>
  <c r="F86" i="3"/>
  <c r="H86" i="3" s="1"/>
  <c r="I86" i="3" s="1"/>
  <c r="J86" i="3" s="1"/>
  <c r="E86" i="3"/>
  <c r="F112" i="3"/>
  <c r="E112" i="3"/>
  <c r="E144" i="3"/>
  <c r="F148" i="3"/>
  <c r="E148" i="3"/>
  <c r="E153" i="3"/>
  <c r="E177" i="3"/>
  <c r="G209" i="3"/>
  <c r="H209" i="3" s="1"/>
  <c r="I209" i="3" s="1"/>
  <c r="J209" i="3" s="1"/>
  <c r="F210" i="3"/>
  <c r="F230" i="3"/>
  <c r="E230" i="3"/>
  <c r="F248" i="3"/>
  <c r="F7" i="4"/>
  <c r="F17" i="4"/>
  <c r="H17" i="4" s="1"/>
  <c r="I17" i="4" s="1"/>
  <c r="J17" i="4" s="1"/>
  <c r="E17" i="4"/>
  <c r="F25" i="4"/>
  <c r="H25" i="4" s="1"/>
  <c r="I25" i="4" s="1"/>
  <c r="J25" i="4" s="1"/>
  <c r="F44" i="4"/>
  <c r="H44" i="4" s="1"/>
  <c r="I44" i="4" s="1"/>
  <c r="J44" i="4" s="1"/>
  <c r="F48" i="4"/>
  <c r="H48" i="4" s="1"/>
  <c r="I48" i="4" s="1"/>
  <c r="J48" i="4" s="1"/>
  <c r="E56" i="4"/>
  <c r="F64" i="4"/>
  <c r="H64" i="4" s="1"/>
  <c r="I64" i="4" s="1"/>
  <c r="J64" i="4" s="1"/>
  <c r="E73" i="4"/>
  <c r="E98" i="4"/>
  <c r="F98" i="4"/>
  <c r="E124" i="4"/>
  <c r="G132" i="4"/>
  <c r="H132" i="4" s="1"/>
  <c r="I132" i="4" s="1"/>
  <c r="J132" i="4" s="1"/>
  <c r="E132" i="4"/>
  <c r="F138" i="4"/>
  <c r="H138" i="4" s="1"/>
  <c r="I138" i="4" s="1"/>
  <c r="J138" i="4" s="1"/>
  <c r="E152" i="4"/>
  <c r="E214" i="4"/>
  <c r="H163" i="4"/>
  <c r="I163" i="4" s="1"/>
  <c r="J163" i="4" s="1"/>
  <c r="F170" i="4"/>
  <c r="F221" i="4"/>
  <c r="G220" i="4"/>
  <c r="G58" i="3"/>
  <c r="G66" i="3"/>
  <c r="G10" i="4"/>
  <c r="G49" i="4"/>
  <c r="G100" i="4"/>
  <c r="H100" i="4" s="1"/>
  <c r="I100" i="4" s="1"/>
  <c r="J100" i="4" s="1"/>
  <c r="E166" i="4"/>
  <c r="G206" i="4"/>
  <c r="H206" i="4" s="1"/>
  <c r="I206" i="4" s="1"/>
  <c r="J206" i="4" s="1"/>
  <c r="E252" i="4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G41" i="3"/>
  <c r="G59" i="3"/>
  <c r="F92" i="3"/>
  <c r="F116" i="3"/>
  <c r="F120" i="3"/>
  <c r="G177" i="3"/>
  <c r="H177" i="3" s="1"/>
  <c r="I177" i="3" s="1"/>
  <c r="J177" i="3" s="1"/>
  <c r="G185" i="3"/>
  <c r="F208" i="3"/>
  <c r="H208" i="3" s="1"/>
  <c r="I208" i="3" s="1"/>
  <c r="J208" i="3" s="1"/>
  <c r="G7" i="4"/>
  <c r="G52" i="4"/>
  <c r="G79" i="4"/>
  <c r="F99" i="4"/>
  <c r="F101" i="4"/>
  <c r="G111" i="4"/>
  <c r="F115" i="4"/>
  <c r="H115" i="4" s="1"/>
  <c r="I115" i="4" s="1"/>
  <c r="J115" i="4" s="1"/>
  <c r="E122" i="4"/>
  <c r="E196" i="4"/>
  <c r="G243" i="4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H22" i="3"/>
  <c r="I22" i="3" s="1"/>
  <c r="J22" i="3" s="1"/>
  <c r="H174" i="3"/>
  <c r="I174" i="3" s="1"/>
  <c r="J174" i="3" s="1"/>
  <c r="H27" i="3"/>
  <c r="I27" i="3" s="1"/>
  <c r="J27" i="3" s="1"/>
  <c r="H142" i="3"/>
  <c r="I142" i="3" s="1"/>
  <c r="J142" i="3" s="1"/>
  <c r="H215" i="3"/>
  <c r="I215" i="3" s="1"/>
  <c r="J215" i="3" s="1"/>
  <c r="H3" i="3"/>
  <c r="I3" i="3" s="1"/>
  <c r="J3" i="3" s="1"/>
  <c r="H14" i="3"/>
  <c r="I14" i="3" s="1"/>
  <c r="J14" i="3" s="1"/>
  <c r="H50" i="3"/>
  <c r="I50" i="3" s="1"/>
  <c r="J50" i="3" s="1"/>
  <c r="H146" i="3"/>
  <c r="I146" i="3" s="1"/>
  <c r="J146" i="3" s="1"/>
  <c r="H44" i="3"/>
  <c r="I44" i="3" s="1"/>
  <c r="J44" i="3" s="1"/>
  <c r="H75" i="3"/>
  <c r="I75" i="3" s="1"/>
  <c r="J75" i="3" s="1"/>
  <c r="H85" i="3"/>
  <c r="I85" i="3" s="1"/>
  <c r="J85" i="3" s="1"/>
  <c r="H151" i="3"/>
  <c r="I151" i="3" s="1"/>
  <c r="J151" i="3" s="1"/>
  <c r="H206" i="3"/>
  <c r="I206" i="3" s="1"/>
  <c r="J206" i="3" s="1"/>
  <c r="E11" i="3"/>
  <c r="G5" i="3"/>
  <c r="H5" i="3" s="1"/>
  <c r="I5" i="3" s="1"/>
  <c r="J5" i="3" s="1"/>
  <c r="E10" i="3"/>
  <c r="F20" i="3"/>
  <c r="H20" i="3" s="1"/>
  <c r="I20" i="3" s="1"/>
  <c r="J20" i="3" s="1"/>
  <c r="F23" i="3"/>
  <c r="H23" i="3" s="1"/>
  <c r="I23" i="3" s="1"/>
  <c r="J23" i="3" s="1"/>
  <c r="G28" i="3"/>
  <c r="H28" i="3" s="1"/>
  <c r="I28" i="3" s="1"/>
  <c r="J28" i="3" s="1"/>
  <c r="E33" i="3"/>
  <c r="E35" i="3"/>
  <c r="G46" i="3"/>
  <c r="H46" i="3" s="1"/>
  <c r="I46" i="3" s="1"/>
  <c r="J46" i="3" s="1"/>
  <c r="F56" i="3"/>
  <c r="E56" i="3"/>
  <c r="G57" i="3"/>
  <c r="G61" i="3"/>
  <c r="H61" i="3" s="1"/>
  <c r="I61" i="3" s="1"/>
  <c r="J61" i="3" s="1"/>
  <c r="E66" i="3"/>
  <c r="F76" i="3"/>
  <c r="H76" i="3" s="1"/>
  <c r="I76" i="3" s="1"/>
  <c r="J76" i="3" s="1"/>
  <c r="E79" i="3"/>
  <c r="G84" i="3"/>
  <c r="H84" i="3" s="1"/>
  <c r="I84" i="3" s="1"/>
  <c r="J84" i="3" s="1"/>
  <c r="G88" i="3"/>
  <c r="F89" i="3"/>
  <c r="H89" i="3" s="1"/>
  <c r="I89" i="3" s="1"/>
  <c r="J89" i="3" s="1"/>
  <c r="G90" i="3"/>
  <c r="E97" i="3"/>
  <c r="E99" i="3"/>
  <c r="F127" i="3"/>
  <c r="H134" i="3"/>
  <c r="I134" i="3" s="1"/>
  <c r="J134" i="3" s="1"/>
  <c r="F159" i="3"/>
  <c r="F191" i="3"/>
  <c r="H198" i="3"/>
  <c r="I198" i="3" s="1"/>
  <c r="J198" i="3" s="1"/>
  <c r="F227" i="3"/>
  <c r="E226" i="3"/>
  <c r="E227" i="3"/>
  <c r="F226" i="3"/>
  <c r="H226" i="3" s="1"/>
  <c r="I226" i="3" s="1"/>
  <c r="J226" i="3" s="1"/>
  <c r="H230" i="3"/>
  <c r="I230" i="3" s="1"/>
  <c r="J230" i="3" s="1"/>
  <c r="F238" i="3"/>
  <c r="H238" i="3" s="1"/>
  <c r="I238" i="3" s="1"/>
  <c r="J238" i="3" s="1"/>
  <c r="F14" i="4"/>
  <c r="H14" i="4" s="1"/>
  <c r="I14" i="4" s="1"/>
  <c r="J14" i="4" s="1"/>
  <c r="E13" i="4"/>
  <c r="E14" i="4"/>
  <c r="F13" i="4"/>
  <c r="H13" i="4" s="1"/>
  <c r="I13" i="4" s="1"/>
  <c r="J13" i="4" s="1"/>
  <c r="F19" i="4"/>
  <c r="H19" i="4" s="1"/>
  <c r="I19" i="4" s="1"/>
  <c r="J19" i="4" s="1"/>
  <c r="F18" i="4"/>
  <c r="H18" i="4" s="1"/>
  <c r="I18" i="4" s="1"/>
  <c r="J18" i="4" s="1"/>
  <c r="G23" i="4"/>
  <c r="E23" i="4"/>
  <c r="F24" i="4"/>
  <c r="H24" i="4" s="1"/>
  <c r="I24" i="4" s="1"/>
  <c r="J24" i="4" s="1"/>
  <c r="E50" i="4"/>
  <c r="F49" i="4"/>
  <c r="E49" i="4"/>
  <c r="F50" i="4"/>
  <c r="F63" i="4"/>
  <c r="H63" i="4" s="1"/>
  <c r="I63" i="4" s="1"/>
  <c r="J63" i="4" s="1"/>
  <c r="G62" i="4"/>
  <c r="E66" i="4"/>
  <c r="G65" i="4"/>
  <c r="F65" i="4"/>
  <c r="E65" i="4"/>
  <c r="F83" i="4"/>
  <c r="H83" i="4" s="1"/>
  <c r="I83" i="4" s="1"/>
  <c r="J83" i="4" s="1"/>
  <c r="F82" i="4"/>
  <c r="H82" i="4" s="1"/>
  <c r="I82" i="4" s="1"/>
  <c r="J82" i="4" s="1"/>
  <c r="E83" i="4"/>
  <c r="F94" i="4"/>
  <c r="H94" i="4" s="1"/>
  <c r="I94" i="4" s="1"/>
  <c r="J94" i="4" s="1"/>
  <c r="E93" i="4"/>
  <c r="E94" i="4"/>
  <c r="G93" i="4"/>
  <c r="F93" i="4"/>
  <c r="F142" i="4"/>
  <c r="H142" i="4" s="1"/>
  <c r="I142" i="4" s="1"/>
  <c r="J142" i="4" s="1"/>
  <c r="E141" i="4"/>
  <c r="E142" i="4"/>
  <c r="G141" i="4"/>
  <c r="F141" i="4"/>
  <c r="H162" i="4"/>
  <c r="I162" i="4" s="1"/>
  <c r="J162" i="4" s="1"/>
  <c r="E228" i="4"/>
  <c r="F228" i="4"/>
  <c r="E227" i="4"/>
  <c r="F10" i="3"/>
  <c r="H10" i="3" s="1"/>
  <c r="I10" i="3" s="1"/>
  <c r="J10" i="3" s="1"/>
  <c r="G24" i="3"/>
  <c r="F25" i="3"/>
  <c r="H25" i="3" s="1"/>
  <c r="I25" i="3" s="1"/>
  <c r="J25" i="3" s="1"/>
  <c r="F35" i="3"/>
  <c r="F48" i="3"/>
  <c r="E48" i="3"/>
  <c r="E58" i="3"/>
  <c r="F66" i="3"/>
  <c r="H66" i="3" s="1"/>
  <c r="I66" i="3" s="1"/>
  <c r="J66" i="3" s="1"/>
  <c r="G80" i="3"/>
  <c r="F81" i="3"/>
  <c r="E89" i="3"/>
  <c r="E91" i="3"/>
  <c r="F99" i="3"/>
  <c r="F107" i="3"/>
  <c r="H107" i="3" s="1"/>
  <c r="I107" i="3" s="1"/>
  <c r="J107" i="3" s="1"/>
  <c r="E106" i="3"/>
  <c r="E107" i="3"/>
  <c r="G106" i="3"/>
  <c r="F106" i="3"/>
  <c r="G127" i="3"/>
  <c r="F139" i="3"/>
  <c r="H139" i="3" s="1"/>
  <c r="I139" i="3" s="1"/>
  <c r="J139" i="3" s="1"/>
  <c r="E138" i="3"/>
  <c r="E139" i="3"/>
  <c r="G138" i="3"/>
  <c r="F138" i="3"/>
  <c r="G159" i="3"/>
  <c r="F171" i="3"/>
  <c r="H171" i="3" s="1"/>
  <c r="I171" i="3" s="1"/>
  <c r="J171" i="3" s="1"/>
  <c r="E170" i="3"/>
  <c r="E171" i="3"/>
  <c r="G170" i="3"/>
  <c r="F170" i="3"/>
  <c r="G191" i="3"/>
  <c r="F203" i="3"/>
  <c r="H203" i="3" s="1"/>
  <c r="I203" i="3" s="1"/>
  <c r="J203" i="3" s="1"/>
  <c r="E202" i="3"/>
  <c r="E203" i="3"/>
  <c r="G202" i="3"/>
  <c r="F202" i="3"/>
  <c r="F220" i="3"/>
  <c r="G219" i="3"/>
  <c r="F27" i="4"/>
  <c r="H27" i="4" s="1"/>
  <c r="I27" i="4" s="1"/>
  <c r="J27" i="4" s="1"/>
  <c r="G26" i="4"/>
  <c r="G31" i="4"/>
  <c r="F32" i="4"/>
  <c r="H32" i="4" s="1"/>
  <c r="I32" i="4" s="1"/>
  <c r="J32" i="4" s="1"/>
  <c r="F35" i="4"/>
  <c r="H35" i="4" s="1"/>
  <c r="I35" i="4" s="1"/>
  <c r="J35" i="4" s="1"/>
  <c r="G34" i="4"/>
  <c r="H52" i="4"/>
  <c r="I52" i="4" s="1"/>
  <c r="J52" i="4" s="1"/>
  <c r="F55" i="4"/>
  <c r="G54" i="4"/>
  <c r="E55" i="4"/>
  <c r="E58" i="4"/>
  <c r="G57" i="4"/>
  <c r="F57" i="4"/>
  <c r="E57" i="4"/>
  <c r="F86" i="4"/>
  <c r="H86" i="4" s="1"/>
  <c r="I86" i="4" s="1"/>
  <c r="J86" i="4" s="1"/>
  <c r="E85" i="4"/>
  <c r="E86" i="4"/>
  <c r="G85" i="4"/>
  <c r="F85" i="4"/>
  <c r="E146" i="4"/>
  <c r="F146" i="4"/>
  <c r="H146" i="4" s="1"/>
  <c r="I146" i="4" s="1"/>
  <c r="J146" i="4" s="1"/>
  <c r="F145" i="4"/>
  <c r="E145" i="4"/>
  <c r="H148" i="4"/>
  <c r="I148" i="4" s="1"/>
  <c r="J148" i="4" s="1"/>
  <c r="E158" i="4"/>
  <c r="E157" i="4"/>
  <c r="F158" i="4"/>
  <c r="F169" i="4"/>
  <c r="H169" i="4" s="1"/>
  <c r="I169" i="4" s="1"/>
  <c r="J169" i="4" s="1"/>
  <c r="E169" i="4"/>
  <c r="G168" i="4"/>
  <c r="F168" i="4"/>
  <c r="E168" i="4"/>
  <c r="F181" i="4"/>
  <c r="H181" i="4" s="1"/>
  <c r="I181" i="4" s="1"/>
  <c r="J181" i="4" s="1"/>
  <c r="E181" i="4"/>
  <c r="G180" i="4"/>
  <c r="F192" i="4"/>
  <c r="H192" i="4" s="1"/>
  <c r="I192" i="4" s="1"/>
  <c r="J192" i="4" s="1"/>
  <c r="E192" i="4"/>
  <c r="G191" i="4"/>
  <c r="E191" i="4"/>
  <c r="F191" i="4"/>
  <c r="G224" i="4"/>
  <c r="F225" i="4"/>
  <c r="F224" i="4"/>
  <c r="E236" i="4"/>
  <c r="F236" i="4"/>
  <c r="F235" i="4"/>
  <c r="H235" i="4" s="1"/>
  <c r="I235" i="4" s="1"/>
  <c r="J235" i="4" s="1"/>
  <c r="E235" i="4"/>
  <c r="F7" i="3"/>
  <c r="E7" i="3"/>
  <c r="G16" i="3"/>
  <c r="F17" i="3"/>
  <c r="G35" i="3"/>
  <c r="F40" i="3"/>
  <c r="E40" i="3"/>
  <c r="F58" i="3"/>
  <c r="H58" i="3" s="1"/>
  <c r="I58" i="3" s="1"/>
  <c r="J58" i="3" s="1"/>
  <c r="G72" i="3"/>
  <c r="F73" i="3"/>
  <c r="H73" i="3" s="1"/>
  <c r="I73" i="3" s="1"/>
  <c r="J73" i="3" s="1"/>
  <c r="F91" i="3"/>
  <c r="H91" i="3" s="1"/>
  <c r="I91" i="3" s="1"/>
  <c r="J91" i="3" s="1"/>
  <c r="G99" i="3"/>
  <c r="F212" i="3"/>
  <c r="E212" i="3"/>
  <c r="E215" i="3"/>
  <c r="G214" i="3"/>
  <c r="F214" i="3"/>
  <c r="E214" i="3"/>
  <c r="H217" i="3"/>
  <c r="I217" i="3" s="1"/>
  <c r="J217" i="3" s="1"/>
  <c r="H69" i="4"/>
  <c r="I69" i="4" s="1"/>
  <c r="J69" i="4" s="1"/>
  <c r="H121" i="4"/>
  <c r="I121" i="4" s="1"/>
  <c r="J121" i="4" s="1"/>
  <c r="H155" i="4"/>
  <c r="I155" i="4" s="1"/>
  <c r="J155" i="4" s="1"/>
  <c r="G174" i="4"/>
  <c r="F175" i="4"/>
  <c r="G198" i="4"/>
  <c r="H198" i="4" s="1"/>
  <c r="I198" i="4" s="1"/>
  <c r="J198" i="4" s="1"/>
  <c r="F199" i="4"/>
  <c r="E199" i="4"/>
  <c r="G215" i="4"/>
  <c r="F216" i="4"/>
  <c r="E216" i="4"/>
  <c r="E244" i="4"/>
  <c r="F243" i="4"/>
  <c r="E243" i="4"/>
  <c r="F244" i="4"/>
  <c r="H244" i="4" s="1"/>
  <c r="I244" i="4" s="1"/>
  <c r="J244" i="4" s="1"/>
  <c r="F111" i="4"/>
  <c r="G110" i="4"/>
  <c r="E34" i="3"/>
  <c r="E36" i="3"/>
  <c r="E67" i="3"/>
  <c r="F87" i="3"/>
  <c r="H87" i="3" s="1"/>
  <c r="I87" i="3" s="1"/>
  <c r="J87" i="3" s="1"/>
  <c r="F88" i="3"/>
  <c r="H88" i="3" s="1"/>
  <c r="I88" i="3" s="1"/>
  <c r="J88" i="3" s="1"/>
  <c r="E88" i="3"/>
  <c r="E98" i="3"/>
  <c r="E100" i="3"/>
  <c r="F124" i="3"/>
  <c r="G123" i="3"/>
  <c r="E128" i="3"/>
  <c r="G132" i="3"/>
  <c r="F133" i="3"/>
  <c r="F156" i="3"/>
  <c r="G155" i="3"/>
  <c r="E160" i="3"/>
  <c r="G164" i="3"/>
  <c r="F165" i="3"/>
  <c r="F188" i="3"/>
  <c r="G187" i="3"/>
  <c r="E192" i="3"/>
  <c r="G196" i="3"/>
  <c r="F197" i="3"/>
  <c r="F232" i="3"/>
  <c r="G231" i="3"/>
  <c r="F244" i="3"/>
  <c r="E244" i="3"/>
  <c r="E247" i="3"/>
  <c r="G246" i="3"/>
  <c r="F246" i="3"/>
  <c r="H246" i="3" s="1"/>
  <c r="I246" i="3" s="1"/>
  <c r="J246" i="3" s="1"/>
  <c r="E246" i="3"/>
  <c r="G5" i="4"/>
  <c r="F6" i="4"/>
  <c r="H6" i="4" s="1"/>
  <c r="I6" i="4" s="1"/>
  <c r="J6" i="4" s="1"/>
  <c r="F30" i="4"/>
  <c r="H30" i="4" s="1"/>
  <c r="I30" i="4" s="1"/>
  <c r="J30" i="4" s="1"/>
  <c r="E29" i="4"/>
  <c r="E30" i="4"/>
  <c r="G29" i="4"/>
  <c r="F29" i="4"/>
  <c r="G95" i="4"/>
  <c r="F96" i="4"/>
  <c r="E106" i="4"/>
  <c r="G105" i="4"/>
  <c r="F105" i="4"/>
  <c r="E105" i="4"/>
  <c r="E111" i="4"/>
  <c r="F127" i="4"/>
  <c r="G126" i="4"/>
  <c r="E127" i="4"/>
  <c r="G143" i="4"/>
  <c r="F144" i="4"/>
  <c r="G166" i="4"/>
  <c r="E167" i="4"/>
  <c r="F167" i="4"/>
  <c r="H167" i="4" s="1"/>
  <c r="I167" i="4" s="1"/>
  <c r="J167" i="4" s="1"/>
  <c r="E241" i="4"/>
  <c r="G240" i="4"/>
  <c r="F240" i="4"/>
  <c r="E240" i="4"/>
  <c r="G56" i="3"/>
  <c r="F57" i="3"/>
  <c r="H57" i="3" s="1"/>
  <c r="I57" i="3" s="1"/>
  <c r="J57" i="3" s="1"/>
  <c r="F6" i="3"/>
  <c r="F11" i="3"/>
  <c r="F24" i="3"/>
  <c r="H24" i="3" s="1"/>
  <c r="I24" i="3" s="1"/>
  <c r="J24" i="3" s="1"/>
  <c r="E24" i="3"/>
  <c r="F34" i="3"/>
  <c r="F39" i="3"/>
  <c r="G47" i="3"/>
  <c r="H47" i="3" s="1"/>
  <c r="I47" i="3" s="1"/>
  <c r="J47" i="3" s="1"/>
  <c r="G48" i="3"/>
  <c r="F49" i="3"/>
  <c r="H49" i="3" s="1"/>
  <c r="I49" i="3" s="1"/>
  <c r="J49" i="3" s="1"/>
  <c r="E57" i="3"/>
  <c r="E59" i="3"/>
  <c r="F67" i="3"/>
  <c r="F79" i="3"/>
  <c r="H79" i="3" s="1"/>
  <c r="I79" i="3" s="1"/>
  <c r="J79" i="3" s="1"/>
  <c r="F80" i="3"/>
  <c r="E80" i="3"/>
  <c r="E90" i="3"/>
  <c r="E92" i="3"/>
  <c r="F98" i="3"/>
  <c r="F104" i="3"/>
  <c r="G103" i="3"/>
  <c r="E124" i="3"/>
  <c r="E133" i="3"/>
  <c r="F136" i="3"/>
  <c r="G135" i="3"/>
  <c r="E156" i="3"/>
  <c r="E165" i="3"/>
  <c r="F168" i="3"/>
  <c r="G167" i="3"/>
  <c r="E188" i="3"/>
  <c r="E197" i="3"/>
  <c r="F200" i="3"/>
  <c r="G199" i="3"/>
  <c r="H213" i="3"/>
  <c r="I213" i="3" s="1"/>
  <c r="J213" i="3" s="1"/>
  <c r="G228" i="3"/>
  <c r="F229" i="3"/>
  <c r="E229" i="3"/>
  <c r="E232" i="3"/>
  <c r="E237" i="3"/>
  <c r="F247" i="3"/>
  <c r="G249" i="3"/>
  <c r="F4" i="4"/>
  <c r="G3" i="4"/>
  <c r="E6" i="4"/>
  <c r="E96" i="4"/>
  <c r="F106" i="4"/>
  <c r="E144" i="4"/>
  <c r="F160" i="4"/>
  <c r="E160" i="4"/>
  <c r="G159" i="4"/>
  <c r="F159" i="4"/>
  <c r="E159" i="4"/>
  <c r="G182" i="4"/>
  <c r="F183" i="4"/>
  <c r="H183" i="4" s="1"/>
  <c r="I183" i="4" s="1"/>
  <c r="J183" i="4" s="1"/>
  <c r="E183" i="4"/>
  <c r="F182" i="4"/>
  <c r="E182" i="4"/>
  <c r="E190" i="4"/>
  <c r="G189" i="4"/>
  <c r="F241" i="4"/>
  <c r="E246" i="4"/>
  <c r="E245" i="4"/>
  <c r="G245" i="4"/>
  <c r="G8" i="3"/>
  <c r="F9" i="3"/>
  <c r="F32" i="3"/>
  <c r="E32" i="3"/>
  <c r="G64" i="3"/>
  <c r="F65" i="3"/>
  <c r="F95" i="3"/>
  <c r="F96" i="3"/>
  <c r="E96" i="3"/>
  <c r="E102" i="3"/>
  <c r="F103" i="3"/>
  <c r="E103" i="3"/>
  <c r="E119" i="3"/>
  <c r="G118" i="3"/>
  <c r="F118" i="3"/>
  <c r="E118" i="3"/>
  <c r="E151" i="3"/>
  <c r="G150" i="3"/>
  <c r="F150" i="3"/>
  <c r="H150" i="3" s="1"/>
  <c r="I150" i="3" s="1"/>
  <c r="J150" i="3" s="1"/>
  <c r="E150" i="3"/>
  <c r="E183" i="3"/>
  <c r="G182" i="3"/>
  <c r="F182" i="3"/>
  <c r="E182" i="3"/>
  <c r="E239" i="3"/>
  <c r="E238" i="3"/>
  <c r="F239" i="3"/>
  <c r="F252" i="3"/>
  <c r="G251" i="3"/>
  <c r="F22" i="4"/>
  <c r="H22" i="4" s="1"/>
  <c r="I22" i="4" s="1"/>
  <c r="J22" i="4" s="1"/>
  <c r="E21" i="4"/>
  <c r="E22" i="4"/>
  <c r="G21" i="4"/>
  <c r="F21" i="4"/>
  <c r="F38" i="4"/>
  <c r="H38" i="4" s="1"/>
  <c r="I38" i="4" s="1"/>
  <c r="J38" i="4" s="1"/>
  <c r="E37" i="4"/>
  <c r="E38" i="4"/>
  <c r="G37" i="4"/>
  <c r="F37" i="4"/>
  <c r="F183" i="3"/>
  <c r="G6" i="3"/>
  <c r="G245" i="3"/>
  <c r="H245" i="3" s="1"/>
  <c r="I245" i="3" s="1"/>
  <c r="J245" i="3" s="1"/>
  <c r="G237" i="3"/>
  <c r="G229" i="3"/>
  <c r="G221" i="3"/>
  <c r="H221" i="3" s="1"/>
  <c r="I221" i="3" s="1"/>
  <c r="J221" i="3" s="1"/>
  <c r="G213" i="3"/>
  <c r="G205" i="3"/>
  <c r="H205" i="3" s="1"/>
  <c r="I205" i="3" s="1"/>
  <c r="J205" i="3" s="1"/>
  <c r="G197" i="3"/>
  <c r="G189" i="3"/>
  <c r="H189" i="3" s="1"/>
  <c r="I189" i="3" s="1"/>
  <c r="J189" i="3" s="1"/>
  <c r="G181" i="3"/>
  <c r="H181" i="3" s="1"/>
  <c r="I181" i="3" s="1"/>
  <c r="J181" i="3" s="1"/>
  <c r="G173" i="3"/>
  <c r="H173" i="3" s="1"/>
  <c r="I173" i="3" s="1"/>
  <c r="J173" i="3" s="1"/>
  <c r="G165" i="3"/>
  <c r="G157" i="3"/>
  <c r="H157" i="3" s="1"/>
  <c r="I157" i="3" s="1"/>
  <c r="J157" i="3" s="1"/>
  <c r="G149" i="3"/>
  <c r="G141" i="3"/>
  <c r="H141" i="3" s="1"/>
  <c r="I141" i="3" s="1"/>
  <c r="J141" i="3" s="1"/>
  <c r="G133" i="3"/>
  <c r="G125" i="3"/>
  <c r="H125" i="3" s="1"/>
  <c r="I125" i="3" s="1"/>
  <c r="J125" i="3" s="1"/>
  <c r="G117" i="3"/>
  <c r="H117" i="3" s="1"/>
  <c r="I117" i="3" s="1"/>
  <c r="J117" i="3" s="1"/>
  <c r="G109" i="3"/>
  <c r="H109" i="3" s="1"/>
  <c r="I109" i="3" s="1"/>
  <c r="J109" i="3" s="1"/>
  <c r="G105" i="3"/>
  <c r="H105" i="3" s="1"/>
  <c r="I105" i="3" s="1"/>
  <c r="J105" i="3" s="1"/>
  <c r="G248" i="3"/>
  <c r="H248" i="3" s="1"/>
  <c r="I248" i="3" s="1"/>
  <c r="J248" i="3" s="1"/>
  <c r="G216" i="3"/>
  <c r="G184" i="3"/>
  <c r="H184" i="3" s="1"/>
  <c r="I184" i="3" s="1"/>
  <c r="J184" i="3" s="1"/>
  <c r="G152" i="3"/>
  <c r="H152" i="3" s="1"/>
  <c r="I152" i="3" s="1"/>
  <c r="J152" i="3" s="1"/>
  <c r="G120" i="3"/>
  <c r="H120" i="3" s="1"/>
  <c r="I120" i="3" s="1"/>
  <c r="J120" i="3" s="1"/>
  <c r="G224" i="3"/>
  <c r="G192" i="3"/>
  <c r="H192" i="3" s="1"/>
  <c r="I192" i="3" s="1"/>
  <c r="J192" i="3" s="1"/>
  <c r="G160" i="3"/>
  <c r="H160" i="3" s="1"/>
  <c r="I160" i="3" s="1"/>
  <c r="J160" i="3" s="1"/>
  <c r="G128" i="3"/>
  <c r="H128" i="3" s="1"/>
  <c r="I128" i="3" s="1"/>
  <c r="J128" i="3" s="1"/>
  <c r="G242" i="3"/>
  <c r="G227" i="3"/>
  <c r="G11" i="3"/>
  <c r="F15" i="3"/>
  <c r="H15" i="3" s="1"/>
  <c r="I15" i="3" s="1"/>
  <c r="J15" i="3" s="1"/>
  <c r="F16" i="3"/>
  <c r="E16" i="3"/>
  <c r="G17" i="3"/>
  <c r="G21" i="3"/>
  <c r="H21" i="3" s="1"/>
  <c r="I21" i="3" s="1"/>
  <c r="J21" i="3" s="1"/>
  <c r="E26" i="3"/>
  <c r="E28" i="3"/>
  <c r="F31" i="3"/>
  <c r="G36" i="3"/>
  <c r="H36" i="3" s="1"/>
  <c r="I36" i="3" s="1"/>
  <c r="J36" i="3" s="1"/>
  <c r="G39" i="3"/>
  <c r="G40" i="3"/>
  <c r="F41" i="3"/>
  <c r="H41" i="3" s="1"/>
  <c r="I41" i="3" s="1"/>
  <c r="J41" i="3" s="1"/>
  <c r="G42" i="3"/>
  <c r="H42" i="3" s="1"/>
  <c r="I42" i="3" s="1"/>
  <c r="J42" i="3" s="1"/>
  <c r="E49" i="3"/>
  <c r="E51" i="3"/>
  <c r="F59" i="3"/>
  <c r="G62" i="3"/>
  <c r="H62" i="3" s="1"/>
  <c r="I62" i="3" s="1"/>
  <c r="J62" i="3" s="1"/>
  <c r="G67" i="3"/>
  <c r="F71" i="3"/>
  <c r="H71" i="3" s="1"/>
  <c r="I71" i="3" s="1"/>
  <c r="J71" i="3" s="1"/>
  <c r="F72" i="3"/>
  <c r="H72" i="3" s="1"/>
  <c r="I72" i="3" s="1"/>
  <c r="J72" i="3" s="1"/>
  <c r="E72" i="3"/>
  <c r="G73" i="3"/>
  <c r="G77" i="3"/>
  <c r="H77" i="3" s="1"/>
  <c r="I77" i="3" s="1"/>
  <c r="J77" i="3" s="1"/>
  <c r="E82" i="3"/>
  <c r="E84" i="3"/>
  <c r="F90" i="3"/>
  <c r="H90" i="3" s="1"/>
  <c r="I90" i="3" s="1"/>
  <c r="J90" i="3" s="1"/>
  <c r="E95" i="3"/>
  <c r="G100" i="3"/>
  <c r="H100" i="3" s="1"/>
  <c r="I100" i="3" s="1"/>
  <c r="J100" i="3" s="1"/>
  <c r="E104" i="3"/>
  <c r="F131" i="3"/>
  <c r="E130" i="3"/>
  <c r="E131" i="3"/>
  <c r="F130" i="3"/>
  <c r="H130" i="3" s="1"/>
  <c r="I130" i="3" s="1"/>
  <c r="J130" i="3" s="1"/>
  <c r="E136" i="3"/>
  <c r="H149" i="3"/>
  <c r="I149" i="3" s="1"/>
  <c r="J149" i="3" s="1"/>
  <c r="F163" i="3"/>
  <c r="E162" i="3"/>
  <c r="E163" i="3"/>
  <c r="F162" i="3"/>
  <c r="H162" i="3" s="1"/>
  <c r="I162" i="3" s="1"/>
  <c r="J162" i="3" s="1"/>
  <c r="E168" i="3"/>
  <c r="F195" i="3"/>
  <c r="E194" i="3"/>
  <c r="E195" i="3"/>
  <c r="F194" i="3"/>
  <c r="H194" i="3" s="1"/>
  <c r="I194" i="3" s="1"/>
  <c r="J194" i="3" s="1"/>
  <c r="E200" i="3"/>
  <c r="G232" i="3"/>
  <c r="F237" i="3"/>
  <c r="G240" i="3"/>
  <c r="H240" i="3" s="1"/>
  <c r="I240" i="3" s="1"/>
  <c r="J240" i="3" s="1"/>
  <c r="G241" i="3"/>
  <c r="H241" i="3" s="1"/>
  <c r="I241" i="3" s="1"/>
  <c r="J241" i="3" s="1"/>
  <c r="G247" i="3"/>
  <c r="E4" i="4"/>
  <c r="F11" i="4"/>
  <c r="H11" i="4" s="1"/>
  <c r="I11" i="4" s="1"/>
  <c r="J11" i="4" s="1"/>
  <c r="E11" i="4"/>
  <c r="G15" i="4"/>
  <c r="F16" i="4"/>
  <c r="H16" i="4" s="1"/>
  <c r="I16" i="4" s="1"/>
  <c r="J16" i="4" s="1"/>
  <c r="E16" i="4"/>
  <c r="F71" i="4"/>
  <c r="H71" i="4" s="1"/>
  <c r="I71" i="4" s="1"/>
  <c r="J71" i="4" s="1"/>
  <c r="G70" i="4"/>
  <c r="G87" i="4"/>
  <c r="E87" i="4"/>
  <c r="F88" i="4"/>
  <c r="H88" i="4" s="1"/>
  <c r="I88" i="4" s="1"/>
  <c r="J88" i="4" s="1"/>
  <c r="E88" i="4"/>
  <c r="F91" i="4"/>
  <c r="H91" i="4" s="1"/>
  <c r="I91" i="4" s="1"/>
  <c r="J91" i="4" s="1"/>
  <c r="G90" i="4"/>
  <c r="F151" i="4"/>
  <c r="H151" i="4" s="1"/>
  <c r="I151" i="4" s="1"/>
  <c r="J151" i="4" s="1"/>
  <c r="E151" i="4"/>
  <c r="G150" i="4"/>
  <c r="F190" i="4"/>
  <c r="F246" i="4"/>
  <c r="H249" i="3"/>
  <c r="I249" i="3" s="1"/>
  <c r="J249" i="3" s="1"/>
  <c r="G7" i="3"/>
  <c r="F8" i="3"/>
  <c r="E8" i="3"/>
  <c r="G9" i="3"/>
  <c r="G13" i="3"/>
  <c r="H13" i="3" s="1"/>
  <c r="I13" i="3" s="1"/>
  <c r="J13" i="3" s="1"/>
  <c r="E18" i="3"/>
  <c r="F26" i="3"/>
  <c r="H26" i="3" s="1"/>
  <c r="I26" i="3" s="1"/>
  <c r="J26" i="3" s="1"/>
  <c r="G31" i="3"/>
  <c r="G32" i="3"/>
  <c r="F33" i="3"/>
  <c r="G34" i="3"/>
  <c r="E41" i="3"/>
  <c r="E43" i="3"/>
  <c r="F51" i="3"/>
  <c r="H51" i="3" s="1"/>
  <c r="I51" i="3" s="1"/>
  <c r="J51" i="3" s="1"/>
  <c r="G54" i="3"/>
  <c r="H54" i="3" s="1"/>
  <c r="I54" i="3" s="1"/>
  <c r="J54" i="3" s="1"/>
  <c r="F64" i="3"/>
  <c r="E64" i="3"/>
  <c r="G65" i="3"/>
  <c r="G69" i="3"/>
  <c r="H69" i="3" s="1"/>
  <c r="I69" i="3" s="1"/>
  <c r="J69" i="3" s="1"/>
  <c r="E74" i="3"/>
  <c r="F82" i="3"/>
  <c r="H82" i="3" s="1"/>
  <c r="I82" i="3" s="1"/>
  <c r="J82" i="3" s="1"/>
  <c r="E87" i="3"/>
  <c r="G92" i="3"/>
  <c r="H92" i="3" s="1"/>
  <c r="I92" i="3" s="1"/>
  <c r="J92" i="3" s="1"/>
  <c r="G95" i="3"/>
  <c r="G96" i="3"/>
  <c r="F97" i="3"/>
  <c r="H97" i="3" s="1"/>
  <c r="I97" i="3" s="1"/>
  <c r="J97" i="3" s="1"/>
  <c r="G98" i="3"/>
  <c r="F102" i="3"/>
  <c r="H102" i="3" s="1"/>
  <c r="I102" i="3" s="1"/>
  <c r="J102" i="3" s="1"/>
  <c r="G104" i="3"/>
  <c r="G108" i="3"/>
  <c r="E111" i="3"/>
  <c r="E110" i="3"/>
  <c r="G115" i="3"/>
  <c r="G122" i="3"/>
  <c r="H122" i="3" s="1"/>
  <c r="I122" i="3" s="1"/>
  <c r="J122" i="3" s="1"/>
  <c r="G126" i="3"/>
  <c r="H126" i="3" s="1"/>
  <c r="I126" i="3" s="1"/>
  <c r="J126" i="3" s="1"/>
  <c r="G131" i="3"/>
  <c r="G136" i="3"/>
  <c r="G137" i="3"/>
  <c r="H137" i="3" s="1"/>
  <c r="I137" i="3" s="1"/>
  <c r="J137" i="3" s="1"/>
  <c r="G140" i="3"/>
  <c r="E143" i="3"/>
  <c r="E142" i="3"/>
  <c r="G147" i="3"/>
  <c r="G154" i="3"/>
  <c r="H154" i="3" s="1"/>
  <c r="I154" i="3" s="1"/>
  <c r="J154" i="3" s="1"/>
  <c r="G158" i="3"/>
  <c r="H158" i="3" s="1"/>
  <c r="I158" i="3" s="1"/>
  <c r="J158" i="3" s="1"/>
  <c r="G163" i="3"/>
  <c r="G168" i="3"/>
  <c r="G169" i="3"/>
  <c r="H169" i="3" s="1"/>
  <c r="I169" i="3" s="1"/>
  <c r="J169" i="3" s="1"/>
  <c r="G172" i="3"/>
  <c r="E175" i="3"/>
  <c r="E174" i="3"/>
  <c r="G179" i="3"/>
  <c r="G186" i="3"/>
  <c r="H186" i="3" s="1"/>
  <c r="I186" i="3" s="1"/>
  <c r="J186" i="3" s="1"/>
  <c r="G190" i="3"/>
  <c r="H190" i="3" s="1"/>
  <c r="I190" i="3" s="1"/>
  <c r="J190" i="3" s="1"/>
  <c r="G195" i="3"/>
  <c r="G200" i="3"/>
  <c r="G201" i="3"/>
  <c r="H201" i="3" s="1"/>
  <c r="I201" i="3" s="1"/>
  <c r="J201" i="3" s="1"/>
  <c r="G204" i="3"/>
  <c r="E207" i="3"/>
  <c r="E206" i="3"/>
  <c r="G211" i="3"/>
  <c r="F224" i="3"/>
  <c r="E224" i="3"/>
  <c r="F235" i="3"/>
  <c r="H235" i="3" s="1"/>
  <c r="I235" i="3" s="1"/>
  <c r="J235" i="3" s="1"/>
  <c r="E234" i="3"/>
  <c r="E235" i="3"/>
  <c r="G234" i="3"/>
  <c r="F234" i="3"/>
  <c r="H242" i="3"/>
  <c r="I242" i="3" s="1"/>
  <c r="J242" i="3" s="1"/>
  <c r="G250" i="3"/>
  <c r="H250" i="3" s="1"/>
  <c r="I250" i="3" s="1"/>
  <c r="J250" i="3" s="1"/>
  <c r="E71" i="4"/>
  <c r="E91" i="4"/>
  <c r="H97" i="4"/>
  <c r="I97" i="4" s="1"/>
  <c r="J97" i="4" s="1"/>
  <c r="H109" i="4"/>
  <c r="I109" i="4" s="1"/>
  <c r="J109" i="4" s="1"/>
  <c r="G119" i="4"/>
  <c r="F120" i="4"/>
  <c r="E120" i="4"/>
  <c r="F131" i="4"/>
  <c r="H131" i="4" s="1"/>
  <c r="I131" i="4" s="1"/>
  <c r="J131" i="4" s="1"/>
  <c r="E131" i="4"/>
  <c r="F130" i="4"/>
  <c r="H130" i="4" s="1"/>
  <c r="I130" i="4" s="1"/>
  <c r="J130" i="4" s="1"/>
  <c r="F134" i="4"/>
  <c r="E133" i="4"/>
  <c r="E134" i="4"/>
  <c r="G133" i="4"/>
  <c r="F133" i="4"/>
  <c r="G145" i="4"/>
  <c r="G157" i="4"/>
  <c r="G161" i="4"/>
  <c r="H161" i="4" s="1"/>
  <c r="I161" i="4" s="1"/>
  <c r="J161" i="4" s="1"/>
  <c r="E162" i="4"/>
  <c r="F184" i="4"/>
  <c r="E184" i="4"/>
  <c r="G227" i="4"/>
  <c r="H227" i="4" s="1"/>
  <c r="I227" i="4" s="1"/>
  <c r="J227" i="4" s="1"/>
  <c r="F78" i="4"/>
  <c r="H78" i="4" s="1"/>
  <c r="I78" i="4" s="1"/>
  <c r="J78" i="4" s="1"/>
  <c r="E77" i="4"/>
  <c r="E78" i="4"/>
  <c r="H81" i="4"/>
  <c r="I81" i="4" s="1"/>
  <c r="J81" i="4" s="1"/>
  <c r="H101" i="4"/>
  <c r="I101" i="4" s="1"/>
  <c r="J101" i="4" s="1"/>
  <c r="F118" i="4"/>
  <c r="H118" i="4" s="1"/>
  <c r="I118" i="4" s="1"/>
  <c r="J118" i="4" s="1"/>
  <c r="E117" i="4"/>
  <c r="E118" i="4"/>
  <c r="H125" i="4"/>
  <c r="I125" i="4" s="1"/>
  <c r="J125" i="4" s="1"/>
  <c r="F135" i="4"/>
  <c r="G134" i="4"/>
  <c r="G160" i="4"/>
  <c r="H171" i="4"/>
  <c r="I171" i="4" s="1"/>
  <c r="J171" i="4" s="1"/>
  <c r="E188" i="4"/>
  <c r="E187" i="4"/>
  <c r="F188" i="4"/>
  <c r="F187" i="4"/>
  <c r="H187" i="4" s="1"/>
  <c r="I187" i="4" s="1"/>
  <c r="J187" i="4" s="1"/>
  <c r="E204" i="4"/>
  <c r="F203" i="4"/>
  <c r="E203" i="4"/>
  <c r="G203" i="4"/>
  <c r="G225" i="4"/>
  <c r="F226" i="4"/>
  <c r="E226" i="4"/>
  <c r="G233" i="4"/>
  <c r="F233" i="4"/>
  <c r="G246" i="4"/>
  <c r="E247" i="4"/>
  <c r="F247" i="4"/>
  <c r="H222" i="3"/>
  <c r="I222" i="3" s="1"/>
  <c r="J222" i="3" s="1"/>
  <c r="G233" i="3"/>
  <c r="H233" i="3" s="1"/>
  <c r="I233" i="3" s="1"/>
  <c r="J233" i="3" s="1"/>
  <c r="F3" i="4"/>
  <c r="E3" i="4"/>
  <c r="H9" i="4"/>
  <c r="I9" i="4" s="1"/>
  <c r="J9" i="4" s="1"/>
  <c r="E34" i="4"/>
  <c r="F39" i="4"/>
  <c r="F42" i="4"/>
  <c r="E47" i="4"/>
  <c r="F70" i="4"/>
  <c r="E69" i="4"/>
  <c r="E70" i="4"/>
  <c r="F150" i="4"/>
  <c r="E149" i="4"/>
  <c r="E150" i="4"/>
  <c r="G149" i="4"/>
  <c r="H149" i="4" s="1"/>
  <c r="I149" i="4" s="1"/>
  <c r="J149" i="4" s="1"/>
  <c r="E156" i="4"/>
  <c r="E155" i="4"/>
  <c r="F156" i="4"/>
  <c r="F165" i="4"/>
  <c r="E165" i="4"/>
  <c r="G164" i="4"/>
  <c r="H164" i="4" s="1"/>
  <c r="I164" i="4" s="1"/>
  <c r="J164" i="4" s="1"/>
  <c r="E180" i="4"/>
  <c r="G179" i="4"/>
  <c r="F179" i="4"/>
  <c r="E209" i="4"/>
  <c r="G208" i="4"/>
  <c r="H208" i="4" s="1"/>
  <c r="I208" i="4" s="1"/>
  <c r="J208" i="4" s="1"/>
  <c r="G216" i="4"/>
  <c r="E217" i="4"/>
  <c r="E242" i="4"/>
  <c r="G241" i="4"/>
  <c r="F242" i="4"/>
  <c r="P2" i="3"/>
  <c r="F108" i="3"/>
  <c r="G111" i="3"/>
  <c r="H111" i="3" s="1"/>
  <c r="I111" i="3" s="1"/>
  <c r="J111" i="3" s="1"/>
  <c r="F123" i="3"/>
  <c r="E123" i="3"/>
  <c r="G124" i="3"/>
  <c r="E135" i="3"/>
  <c r="F140" i="3"/>
  <c r="G143" i="3"/>
  <c r="H143" i="3" s="1"/>
  <c r="I143" i="3" s="1"/>
  <c r="J143" i="3" s="1"/>
  <c r="F155" i="3"/>
  <c r="H155" i="3" s="1"/>
  <c r="I155" i="3" s="1"/>
  <c r="J155" i="3" s="1"/>
  <c r="E154" i="3"/>
  <c r="E155" i="3"/>
  <c r="G156" i="3"/>
  <c r="E167" i="3"/>
  <c r="F172" i="3"/>
  <c r="H172" i="3" s="1"/>
  <c r="I172" i="3" s="1"/>
  <c r="J172" i="3" s="1"/>
  <c r="G175" i="3"/>
  <c r="H175" i="3" s="1"/>
  <c r="I175" i="3" s="1"/>
  <c r="J175" i="3" s="1"/>
  <c r="F187" i="3"/>
  <c r="E186" i="3"/>
  <c r="E187" i="3"/>
  <c r="G188" i="3"/>
  <c r="E199" i="3"/>
  <c r="F204" i="3"/>
  <c r="G207" i="3"/>
  <c r="H207" i="3" s="1"/>
  <c r="I207" i="3" s="1"/>
  <c r="J207" i="3" s="1"/>
  <c r="F219" i="3"/>
  <c r="E218" i="3"/>
  <c r="E219" i="3"/>
  <c r="G220" i="3"/>
  <c r="E231" i="3"/>
  <c r="F236" i="3"/>
  <c r="H236" i="3" s="1"/>
  <c r="I236" i="3" s="1"/>
  <c r="J236" i="3" s="1"/>
  <c r="G239" i="3"/>
  <c r="F251" i="3"/>
  <c r="H251" i="3" s="1"/>
  <c r="I251" i="3" s="1"/>
  <c r="J251" i="3" s="1"/>
  <c r="E250" i="3"/>
  <c r="E251" i="3"/>
  <c r="G252" i="3"/>
  <c r="G4" i="4"/>
  <c r="F5" i="4"/>
  <c r="E8" i="4"/>
  <c r="E26" i="4"/>
  <c r="F31" i="4"/>
  <c r="F34" i="4"/>
  <c r="E39" i="4"/>
  <c r="G42" i="4"/>
  <c r="F62" i="4"/>
  <c r="E61" i="4"/>
  <c r="E62" i="4"/>
  <c r="E67" i="4"/>
  <c r="E72" i="4"/>
  <c r="F80" i="4"/>
  <c r="E90" i="4"/>
  <c r="F95" i="4"/>
  <c r="G98" i="4"/>
  <c r="H98" i="4" s="1"/>
  <c r="I98" i="4" s="1"/>
  <c r="J98" i="4" s="1"/>
  <c r="F110" i="4"/>
  <c r="E109" i="4"/>
  <c r="E110" i="4"/>
  <c r="F122" i="4"/>
  <c r="F137" i="4"/>
  <c r="H137" i="4" s="1"/>
  <c r="I137" i="4" s="1"/>
  <c r="J137" i="4" s="1"/>
  <c r="F143" i="4"/>
  <c r="F152" i="4"/>
  <c r="E161" i="4"/>
  <c r="F178" i="4"/>
  <c r="H178" i="4" s="1"/>
  <c r="I178" i="4" s="1"/>
  <c r="J178" i="4" s="1"/>
  <c r="E178" i="4"/>
  <c r="G177" i="4"/>
  <c r="H177" i="4" s="1"/>
  <c r="I177" i="4" s="1"/>
  <c r="J177" i="4" s="1"/>
  <c r="F180" i="4"/>
  <c r="F193" i="4"/>
  <c r="F200" i="4"/>
  <c r="E200" i="4"/>
  <c r="G199" i="4"/>
  <c r="F209" i="4"/>
  <c r="E212" i="4"/>
  <c r="F211" i="4"/>
  <c r="H211" i="4" s="1"/>
  <c r="I211" i="4" s="1"/>
  <c r="J211" i="4" s="1"/>
  <c r="E211" i="4"/>
  <c r="F214" i="4"/>
  <c r="F217" i="4"/>
  <c r="F229" i="4"/>
  <c r="E229" i="4"/>
  <c r="G228" i="4"/>
  <c r="F234" i="4"/>
  <c r="F239" i="4"/>
  <c r="G247" i="4"/>
  <c r="F248" i="4"/>
  <c r="E248" i="4"/>
  <c r="E2" i="3"/>
  <c r="E4" i="3"/>
  <c r="E5" i="3"/>
  <c r="E6" i="3"/>
  <c r="E23" i="3"/>
  <c r="E31" i="3"/>
  <c r="E39" i="3"/>
  <c r="E47" i="3"/>
  <c r="E55" i="3"/>
  <c r="E63" i="3"/>
  <c r="E108" i="3"/>
  <c r="E120" i="3"/>
  <c r="E125" i="3"/>
  <c r="G129" i="3"/>
  <c r="H129" i="3" s="1"/>
  <c r="I129" i="3" s="1"/>
  <c r="J129" i="3" s="1"/>
  <c r="F135" i="3"/>
  <c r="E140" i="3"/>
  <c r="E152" i="3"/>
  <c r="E157" i="3"/>
  <c r="G161" i="3"/>
  <c r="H161" i="3" s="1"/>
  <c r="I161" i="3" s="1"/>
  <c r="J161" i="3" s="1"/>
  <c r="F167" i="3"/>
  <c r="H167" i="3" s="1"/>
  <c r="I167" i="3" s="1"/>
  <c r="J167" i="3" s="1"/>
  <c r="E172" i="3"/>
  <c r="E184" i="3"/>
  <c r="E189" i="3"/>
  <c r="G193" i="3"/>
  <c r="H193" i="3" s="1"/>
  <c r="I193" i="3" s="1"/>
  <c r="J193" i="3" s="1"/>
  <c r="F199" i="3"/>
  <c r="H199" i="3" s="1"/>
  <c r="I199" i="3" s="1"/>
  <c r="J199" i="3" s="1"/>
  <c r="E204" i="3"/>
  <c r="E216" i="3"/>
  <c r="E221" i="3"/>
  <c r="G225" i="3"/>
  <c r="H225" i="3" s="1"/>
  <c r="I225" i="3" s="1"/>
  <c r="J225" i="3" s="1"/>
  <c r="F231" i="3"/>
  <c r="H231" i="3" s="1"/>
  <c r="I231" i="3" s="1"/>
  <c r="J231" i="3" s="1"/>
  <c r="E236" i="3"/>
  <c r="E248" i="3"/>
  <c r="F2" i="4"/>
  <c r="H2" i="4" s="1"/>
  <c r="I2" i="4" s="1"/>
  <c r="J2" i="4" s="1"/>
  <c r="E5" i="4"/>
  <c r="F8" i="4"/>
  <c r="H8" i="4" s="1"/>
  <c r="I8" i="4" s="1"/>
  <c r="J8" i="4" s="1"/>
  <c r="E18" i="4"/>
  <c r="F23" i="4"/>
  <c r="F26" i="4"/>
  <c r="E31" i="4"/>
  <c r="F54" i="4"/>
  <c r="E53" i="4"/>
  <c r="E54" i="4"/>
  <c r="E59" i="4"/>
  <c r="E64" i="4"/>
  <c r="F72" i="4"/>
  <c r="H72" i="4" s="1"/>
  <c r="I72" i="4" s="1"/>
  <c r="J72" i="4" s="1"/>
  <c r="E82" i="4"/>
  <c r="F87" i="4"/>
  <c r="F90" i="4"/>
  <c r="E95" i="4"/>
  <c r="E107" i="4"/>
  <c r="E112" i="4"/>
  <c r="G122" i="4"/>
  <c r="F126" i="4"/>
  <c r="E125" i="4"/>
  <c r="E126" i="4"/>
  <c r="E128" i="4"/>
  <c r="E130" i="4"/>
  <c r="F129" i="4"/>
  <c r="H129" i="4" s="1"/>
  <c r="I129" i="4" s="1"/>
  <c r="J129" i="4" s="1"/>
  <c r="E143" i="4"/>
  <c r="E147" i="4"/>
  <c r="F157" i="4"/>
  <c r="G156" i="4"/>
  <c r="E170" i="4"/>
  <c r="F174" i="4"/>
  <c r="E174" i="4"/>
  <c r="G184" i="4"/>
  <c r="E185" i="4"/>
  <c r="F189" i="4"/>
  <c r="G188" i="4"/>
  <c r="E189" i="4"/>
  <c r="E207" i="4"/>
  <c r="F212" i="4"/>
  <c r="E224" i="4"/>
  <c r="G223" i="4"/>
  <c r="H223" i="4" s="1"/>
  <c r="I223" i="4" s="1"/>
  <c r="J223" i="4" s="1"/>
  <c r="E30" i="3"/>
  <c r="F115" i="3"/>
  <c r="E115" i="3"/>
  <c r="G116" i="3"/>
  <c r="H116" i="3" s="1"/>
  <c r="I116" i="3" s="1"/>
  <c r="J116" i="3" s="1"/>
  <c r="E127" i="3"/>
  <c r="F132" i="3"/>
  <c r="F147" i="3"/>
  <c r="E146" i="3"/>
  <c r="E147" i="3"/>
  <c r="G148" i="3"/>
  <c r="H148" i="3" s="1"/>
  <c r="I148" i="3" s="1"/>
  <c r="J148" i="3" s="1"/>
  <c r="E159" i="3"/>
  <c r="F164" i="3"/>
  <c r="F179" i="3"/>
  <c r="E178" i="3"/>
  <c r="E179" i="3"/>
  <c r="G180" i="3"/>
  <c r="H180" i="3" s="1"/>
  <c r="I180" i="3" s="1"/>
  <c r="J180" i="3" s="1"/>
  <c r="E191" i="3"/>
  <c r="F196" i="3"/>
  <c r="F211" i="3"/>
  <c r="E210" i="3"/>
  <c r="E211" i="3"/>
  <c r="G212" i="3"/>
  <c r="E223" i="3"/>
  <c r="F228" i="3"/>
  <c r="F243" i="3"/>
  <c r="H243" i="3" s="1"/>
  <c r="I243" i="3" s="1"/>
  <c r="J243" i="3" s="1"/>
  <c r="E242" i="3"/>
  <c r="E243" i="3"/>
  <c r="G244" i="3"/>
  <c r="E2" i="4"/>
  <c r="E7" i="4"/>
  <c r="E10" i="4"/>
  <c r="F15" i="4"/>
  <c r="E41" i="4"/>
  <c r="F46" i="4"/>
  <c r="E45" i="4"/>
  <c r="E46" i="4"/>
  <c r="E74" i="4"/>
  <c r="F77" i="4"/>
  <c r="H77" i="4" s="1"/>
  <c r="I77" i="4" s="1"/>
  <c r="J77" i="4" s="1"/>
  <c r="F79" i="4"/>
  <c r="E97" i="4"/>
  <c r="F102" i="4"/>
  <c r="E101" i="4"/>
  <c r="E102" i="4"/>
  <c r="F112" i="4"/>
  <c r="E114" i="4"/>
  <c r="F117" i="4"/>
  <c r="H117" i="4" s="1"/>
  <c r="I117" i="4" s="1"/>
  <c r="J117" i="4" s="1"/>
  <c r="F119" i="4"/>
  <c r="H119" i="4" s="1"/>
  <c r="I119" i="4" s="1"/>
  <c r="J119" i="4" s="1"/>
  <c r="E119" i="4"/>
  <c r="G135" i="4"/>
  <c r="E136" i="4"/>
  <c r="E138" i="4"/>
  <c r="G152" i="4"/>
  <c r="E153" i="4"/>
  <c r="F153" i="4"/>
  <c r="G165" i="4"/>
  <c r="F166" i="4"/>
  <c r="G193" i="4"/>
  <c r="E194" i="4"/>
  <c r="E198" i="4"/>
  <c r="G197" i="4"/>
  <c r="H197" i="4" s="1"/>
  <c r="I197" i="4" s="1"/>
  <c r="J197" i="4" s="1"/>
  <c r="E197" i="4"/>
  <c r="F207" i="4"/>
  <c r="E210" i="4"/>
  <c r="G209" i="4"/>
  <c r="F210" i="4"/>
  <c r="G229" i="4"/>
  <c r="E230" i="4"/>
  <c r="G248" i="4"/>
  <c r="E249" i="4"/>
  <c r="E172" i="4"/>
  <c r="F172" i="4"/>
  <c r="H172" i="4" s="1"/>
  <c r="I172" i="4" s="1"/>
  <c r="J172" i="4" s="1"/>
  <c r="G175" i="4"/>
  <c r="E176" i="4"/>
  <c r="G214" i="4"/>
  <c r="E215" i="4"/>
  <c r="F215" i="4"/>
  <c r="G230" i="4"/>
  <c r="H230" i="4" s="1"/>
  <c r="I230" i="4" s="1"/>
  <c r="J230" i="4" s="1"/>
  <c r="F231" i="4"/>
  <c r="H231" i="4" s="1"/>
  <c r="I231" i="4" s="1"/>
  <c r="J231" i="4" s="1"/>
  <c r="E231" i="4"/>
  <c r="G113" i="3"/>
  <c r="H113" i="3" s="1"/>
  <c r="I113" i="3" s="1"/>
  <c r="J113" i="3" s="1"/>
  <c r="G121" i="3"/>
  <c r="H121" i="3" s="1"/>
  <c r="I121" i="3" s="1"/>
  <c r="J121" i="3" s="1"/>
  <c r="G242" i="4"/>
  <c r="G210" i="4"/>
  <c r="G234" i="4"/>
  <c r="G154" i="4"/>
  <c r="H154" i="4" s="1"/>
  <c r="I154" i="4" s="1"/>
  <c r="J154" i="4" s="1"/>
  <c r="G186" i="4"/>
  <c r="H186" i="4" s="1"/>
  <c r="I186" i="4" s="1"/>
  <c r="J186" i="4" s="1"/>
  <c r="F195" i="4"/>
  <c r="H195" i="4" s="1"/>
  <c r="I195" i="4" s="1"/>
  <c r="J195" i="4" s="1"/>
  <c r="G200" i="4"/>
  <c r="G202" i="4"/>
  <c r="H202" i="4" s="1"/>
  <c r="I202" i="4" s="1"/>
  <c r="J202" i="4" s="1"/>
  <c r="E220" i="4"/>
  <c r="F219" i="4"/>
  <c r="F220" i="4"/>
  <c r="E232" i="4"/>
  <c r="F237" i="4"/>
  <c r="H237" i="4" s="1"/>
  <c r="I237" i="4" s="1"/>
  <c r="J237" i="4" s="1"/>
  <c r="E237" i="4"/>
  <c r="G96" i="4"/>
  <c r="G104" i="4"/>
  <c r="H104" i="4" s="1"/>
  <c r="I104" i="4" s="1"/>
  <c r="J104" i="4" s="1"/>
  <c r="G112" i="4"/>
  <c r="G120" i="4"/>
  <c r="G128" i="4"/>
  <c r="H128" i="4" s="1"/>
  <c r="I128" i="4" s="1"/>
  <c r="J128" i="4" s="1"/>
  <c r="G136" i="4"/>
  <c r="H136" i="4" s="1"/>
  <c r="I136" i="4" s="1"/>
  <c r="J136" i="4" s="1"/>
  <c r="G144" i="4"/>
  <c r="G170" i="4"/>
  <c r="H170" i="4" s="1"/>
  <c r="I170" i="4" s="1"/>
  <c r="J170" i="4" s="1"/>
  <c r="G219" i="4"/>
  <c r="H221" i="4"/>
  <c r="I221" i="4" s="1"/>
  <c r="J221" i="4" s="1"/>
  <c r="G158" i="4"/>
  <c r="E164" i="4"/>
  <c r="F173" i="4"/>
  <c r="H173" i="4" s="1"/>
  <c r="I173" i="4" s="1"/>
  <c r="J173" i="4" s="1"/>
  <c r="G190" i="4"/>
  <c r="E206" i="4"/>
  <c r="G207" i="4"/>
  <c r="F213" i="4"/>
  <c r="H213" i="4" s="1"/>
  <c r="I213" i="4" s="1"/>
  <c r="J213" i="4" s="1"/>
  <c r="G222" i="4"/>
  <c r="H222" i="4" s="1"/>
  <c r="I222" i="4" s="1"/>
  <c r="J222" i="4" s="1"/>
  <c r="E223" i="4"/>
  <c r="G226" i="4"/>
  <c r="E233" i="4"/>
  <c r="G236" i="4"/>
  <c r="E238" i="4"/>
  <c r="G239" i="4"/>
  <c r="F245" i="4"/>
  <c r="G251" i="4"/>
  <c r="H251" i="4" s="1"/>
  <c r="I251" i="4" s="1"/>
  <c r="J251" i="4" s="1"/>
  <c r="H212" i="4" l="1"/>
  <c r="I212" i="4" s="1"/>
  <c r="J212" i="4" s="1"/>
  <c r="H153" i="4"/>
  <c r="I153" i="4" s="1"/>
  <c r="J153" i="4" s="1"/>
  <c r="H217" i="4"/>
  <c r="I217" i="4" s="1"/>
  <c r="J217" i="4" s="1"/>
  <c r="H106" i="4"/>
  <c r="I106" i="4" s="1"/>
  <c r="J106" i="4" s="1"/>
  <c r="H54" i="4"/>
  <c r="I54" i="4" s="1"/>
  <c r="J54" i="4" s="1"/>
  <c r="H50" i="4"/>
  <c r="I50" i="4" s="1"/>
  <c r="J50" i="4" s="1"/>
  <c r="H46" i="4"/>
  <c r="I46" i="4" s="1"/>
  <c r="J46" i="4" s="1"/>
  <c r="H240" i="4"/>
  <c r="I240" i="4" s="1"/>
  <c r="J240" i="4" s="1"/>
  <c r="H37" i="4"/>
  <c r="I37" i="4" s="1"/>
  <c r="J37" i="4" s="1"/>
  <c r="H79" i="4"/>
  <c r="I79" i="4" s="1"/>
  <c r="J79" i="4" s="1"/>
  <c r="H20" i="4"/>
  <c r="I20" i="4" s="1"/>
  <c r="J20" i="4" s="1"/>
  <c r="H26" i="4"/>
  <c r="I26" i="4" s="1"/>
  <c r="J26" i="4" s="1"/>
  <c r="H49" i="4"/>
  <c r="I49" i="4" s="1"/>
  <c r="J49" i="4" s="1"/>
  <c r="H96" i="4"/>
  <c r="I96" i="4" s="1"/>
  <c r="J96" i="4" s="1"/>
  <c r="H80" i="4"/>
  <c r="I80" i="4" s="1"/>
  <c r="J80" i="4" s="1"/>
  <c r="H34" i="4"/>
  <c r="I34" i="4" s="1"/>
  <c r="J34" i="4" s="1"/>
  <c r="H166" i="4"/>
  <c r="I166" i="4" s="1"/>
  <c r="J166" i="4" s="1"/>
  <c r="H143" i="4"/>
  <c r="I143" i="4" s="1"/>
  <c r="J143" i="4" s="1"/>
  <c r="H31" i="4"/>
  <c r="I31" i="4" s="1"/>
  <c r="J31" i="4" s="1"/>
  <c r="H159" i="4"/>
  <c r="I159" i="4" s="1"/>
  <c r="J159" i="4" s="1"/>
  <c r="H234" i="4"/>
  <c r="I234" i="4" s="1"/>
  <c r="J234" i="4" s="1"/>
  <c r="H233" i="4"/>
  <c r="I233" i="4" s="1"/>
  <c r="J233" i="4" s="1"/>
  <c r="H102" i="4"/>
  <c r="I102" i="4" s="1"/>
  <c r="J102" i="4" s="1"/>
  <c r="H165" i="4"/>
  <c r="I165" i="4" s="1"/>
  <c r="J165" i="4" s="1"/>
  <c r="H127" i="4"/>
  <c r="I127" i="4" s="1"/>
  <c r="J127" i="4" s="1"/>
  <c r="H220" i="4"/>
  <c r="I220" i="4" s="1"/>
  <c r="J220" i="4" s="1"/>
  <c r="H219" i="4"/>
  <c r="I219" i="4" s="1"/>
  <c r="J219" i="4" s="1"/>
  <c r="H95" i="4"/>
  <c r="I95" i="4" s="1"/>
  <c r="J95" i="4" s="1"/>
  <c r="H57" i="4"/>
  <c r="I57" i="4" s="1"/>
  <c r="J57" i="4" s="1"/>
  <c r="H126" i="4"/>
  <c r="I126" i="4" s="1"/>
  <c r="J126" i="4" s="1"/>
  <c r="H203" i="4"/>
  <c r="I203" i="4" s="1"/>
  <c r="J203" i="4" s="1"/>
  <c r="H29" i="4"/>
  <c r="I29" i="4" s="1"/>
  <c r="J29" i="4" s="1"/>
  <c r="H243" i="4"/>
  <c r="I243" i="4" s="1"/>
  <c r="J243" i="4" s="1"/>
  <c r="H191" i="4"/>
  <c r="I191" i="4" s="1"/>
  <c r="J191" i="4" s="1"/>
  <c r="H93" i="4"/>
  <c r="I93" i="4" s="1"/>
  <c r="J93" i="4" s="1"/>
  <c r="H42" i="4"/>
  <c r="I42" i="4" s="1"/>
  <c r="J42" i="4" s="1"/>
  <c r="H135" i="4"/>
  <c r="I135" i="4" s="1"/>
  <c r="J135" i="4" s="1"/>
  <c r="H62" i="4"/>
  <c r="I62" i="4" s="1"/>
  <c r="J62" i="4" s="1"/>
  <c r="H3" i="4"/>
  <c r="I3" i="4" s="1"/>
  <c r="J3" i="4" s="1"/>
  <c r="H147" i="4"/>
  <c r="I147" i="4" s="1"/>
  <c r="J147" i="4" s="1"/>
  <c r="H207" i="4"/>
  <c r="I207" i="4" s="1"/>
  <c r="J207" i="4" s="1"/>
  <c r="H112" i="4"/>
  <c r="I112" i="4" s="1"/>
  <c r="J112" i="4" s="1"/>
  <c r="H179" i="3"/>
  <c r="I179" i="3" s="1"/>
  <c r="J179" i="3" s="1"/>
  <c r="H87" i="4"/>
  <c r="I87" i="4" s="1"/>
  <c r="J87" i="4" s="1"/>
  <c r="H214" i="4"/>
  <c r="I214" i="4" s="1"/>
  <c r="J214" i="4" s="1"/>
  <c r="H193" i="4"/>
  <c r="I193" i="4" s="1"/>
  <c r="J193" i="4" s="1"/>
  <c r="H33" i="3"/>
  <c r="I33" i="3" s="1"/>
  <c r="J33" i="3" s="1"/>
  <c r="H105" i="4"/>
  <c r="I105" i="4" s="1"/>
  <c r="J105" i="4" s="1"/>
  <c r="H168" i="4"/>
  <c r="I168" i="4" s="1"/>
  <c r="J168" i="4" s="1"/>
  <c r="H55" i="4"/>
  <c r="I55" i="4" s="1"/>
  <c r="J55" i="4" s="1"/>
  <c r="H65" i="4"/>
  <c r="I65" i="4" s="1"/>
  <c r="J65" i="4" s="1"/>
  <c r="H4" i="3"/>
  <c r="I4" i="3" s="1"/>
  <c r="J4" i="3" s="1"/>
  <c r="H176" i="4"/>
  <c r="I176" i="4" s="1"/>
  <c r="J176" i="4" s="1"/>
  <c r="H184" i="4"/>
  <c r="I184" i="4" s="1"/>
  <c r="J184" i="4" s="1"/>
  <c r="H103" i="4"/>
  <c r="I103" i="4" s="1"/>
  <c r="J103" i="4" s="1"/>
  <c r="H18" i="3"/>
  <c r="I18" i="3" s="1"/>
  <c r="J18" i="3" s="1"/>
  <c r="H122" i="4"/>
  <c r="I122" i="4" s="1"/>
  <c r="J122" i="4" s="1"/>
  <c r="H247" i="3"/>
  <c r="I247" i="3" s="1"/>
  <c r="J247" i="3" s="1"/>
  <c r="H196" i="3"/>
  <c r="I196" i="3" s="1"/>
  <c r="J196" i="3" s="1"/>
  <c r="H157" i="4"/>
  <c r="I157" i="4" s="1"/>
  <c r="J157" i="4" s="1"/>
  <c r="H23" i="4"/>
  <c r="I23" i="4" s="1"/>
  <c r="J23" i="4" s="1"/>
  <c r="H239" i="4"/>
  <c r="I239" i="4" s="1"/>
  <c r="J239" i="4" s="1"/>
  <c r="H39" i="4"/>
  <c r="I39" i="4" s="1"/>
  <c r="J39" i="4" s="1"/>
  <c r="H247" i="4"/>
  <c r="I247" i="4" s="1"/>
  <c r="J247" i="4" s="1"/>
  <c r="H59" i="3"/>
  <c r="I59" i="3" s="1"/>
  <c r="J59" i="3" s="1"/>
  <c r="H183" i="3"/>
  <c r="I183" i="3" s="1"/>
  <c r="J183" i="3" s="1"/>
  <c r="H202" i="3"/>
  <c r="I202" i="3" s="1"/>
  <c r="J202" i="3" s="1"/>
  <c r="H141" i="4"/>
  <c r="I141" i="4" s="1"/>
  <c r="J141" i="4" s="1"/>
  <c r="H210" i="3"/>
  <c r="I210" i="3" s="1"/>
  <c r="J210" i="3" s="1"/>
  <c r="H112" i="3"/>
  <c r="I112" i="3" s="1"/>
  <c r="J112" i="3" s="1"/>
  <c r="H10" i="4"/>
  <c r="I10" i="4" s="1"/>
  <c r="J10" i="4" s="1"/>
  <c r="H68" i="3"/>
  <c r="I68" i="3" s="1"/>
  <c r="J68" i="3" s="1"/>
  <c r="H215" i="4"/>
  <c r="I215" i="4" s="1"/>
  <c r="J215" i="4" s="1"/>
  <c r="H209" i="4"/>
  <c r="I209" i="4" s="1"/>
  <c r="J209" i="4" s="1"/>
  <c r="H110" i="4"/>
  <c r="I110" i="4" s="1"/>
  <c r="J110" i="4" s="1"/>
  <c r="H123" i="3"/>
  <c r="I123" i="3" s="1"/>
  <c r="J123" i="3" s="1"/>
  <c r="H150" i="4"/>
  <c r="I150" i="4" s="1"/>
  <c r="J150" i="4" s="1"/>
  <c r="H216" i="3"/>
  <c r="I216" i="3" s="1"/>
  <c r="J216" i="3" s="1"/>
  <c r="H111" i="4"/>
  <c r="I111" i="4" s="1"/>
  <c r="J111" i="4" s="1"/>
  <c r="H224" i="4"/>
  <c r="I224" i="4" s="1"/>
  <c r="J224" i="4" s="1"/>
  <c r="H106" i="3"/>
  <c r="I106" i="3" s="1"/>
  <c r="J106" i="3" s="1"/>
  <c r="H81" i="3"/>
  <c r="I81" i="3" s="1"/>
  <c r="J81" i="3" s="1"/>
  <c r="H38" i="3"/>
  <c r="I38" i="3" s="1"/>
  <c r="J38" i="3" s="1"/>
  <c r="H104" i="3"/>
  <c r="I104" i="3" s="1"/>
  <c r="J104" i="3" s="1"/>
  <c r="H99" i="4"/>
  <c r="I99" i="4" s="1"/>
  <c r="J99" i="4" s="1"/>
  <c r="H218" i="3"/>
  <c r="I218" i="3" s="1"/>
  <c r="J218" i="3" s="1"/>
  <c r="H156" i="4"/>
  <c r="I156" i="4" s="1"/>
  <c r="J156" i="4" s="1"/>
  <c r="H98" i="3"/>
  <c r="I98" i="3" s="1"/>
  <c r="J98" i="3" s="1"/>
  <c r="H7" i="4"/>
  <c r="I7" i="4" s="1"/>
  <c r="J7" i="4" s="1"/>
  <c r="H74" i="4"/>
  <c r="I74" i="4" s="1"/>
  <c r="J74" i="4" s="1"/>
  <c r="H76" i="4"/>
  <c r="I76" i="4" s="1"/>
  <c r="J76" i="4" s="1"/>
  <c r="H204" i="3"/>
  <c r="I204" i="3" s="1"/>
  <c r="J204" i="3" s="1"/>
  <c r="H64" i="3"/>
  <c r="I64" i="3" s="1"/>
  <c r="J64" i="3" s="1"/>
  <c r="H239" i="3"/>
  <c r="I239" i="3" s="1"/>
  <c r="J239" i="3" s="1"/>
  <c r="H228" i="3"/>
  <c r="I228" i="3" s="1"/>
  <c r="J228" i="3" s="1"/>
  <c r="H115" i="3"/>
  <c r="I115" i="3" s="1"/>
  <c r="J115" i="3" s="1"/>
  <c r="H229" i="3"/>
  <c r="I229" i="3" s="1"/>
  <c r="J229" i="3" s="1"/>
  <c r="H17" i="3"/>
  <c r="I17" i="3" s="1"/>
  <c r="J17" i="3" s="1"/>
  <c r="H200" i="3"/>
  <c r="I200" i="3" s="1"/>
  <c r="J200" i="3" s="1"/>
  <c r="H136" i="3"/>
  <c r="I136" i="3" s="1"/>
  <c r="J136" i="3" s="1"/>
  <c r="H132" i="3"/>
  <c r="I132" i="3" s="1"/>
  <c r="J132" i="3" s="1"/>
  <c r="H96" i="3"/>
  <c r="I96" i="3" s="1"/>
  <c r="J96" i="3" s="1"/>
  <c r="H80" i="3"/>
  <c r="I80" i="3" s="1"/>
  <c r="J80" i="3" s="1"/>
  <c r="H48" i="3"/>
  <c r="I48" i="3" s="1"/>
  <c r="J48" i="3" s="1"/>
  <c r="H187" i="3"/>
  <c r="I187" i="3" s="1"/>
  <c r="J187" i="3" s="1"/>
  <c r="H163" i="3"/>
  <c r="I163" i="3" s="1"/>
  <c r="J163" i="3" s="1"/>
  <c r="H34" i="3"/>
  <c r="I34" i="3" s="1"/>
  <c r="J34" i="3" s="1"/>
  <c r="H232" i="3"/>
  <c r="I232" i="3" s="1"/>
  <c r="J232" i="3" s="1"/>
  <c r="H164" i="3"/>
  <c r="I164" i="3" s="1"/>
  <c r="J164" i="3" s="1"/>
  <c r="H135" i="3"/>
  <c r="I135" i="3" s="1"/>
  <c r="J135" i="3" s="1"/>
  <c r="H219" i="3"/>
  <c r="I219" i="3" s="1"/>
  <c r="J219" i="3" s="1"/>
  <c r="H8" i="3"/>
  <c r="I8" i="3" s="1"/>
  <c r="J8" i="3" s="1"/>
  <c r="H197" i="3"/>
  <c r="I197" i="3" s="1"/>
  <c r="J197" i="3" s="1"/>
  <c r="H159" i="3"/>
  <c r="I159" i="3" s="1"/>
  <c r="J159" i="3" s="1"/>
  <c r="H189" i="4"/>
  <c r="I189" i="4" s="1"/>
  <c r="J189" i="4" s="1"/>
  <c r="H134" i="4"/>
  <c r="I134" i="4" s="1"/>
  <c r="J134" i="4" s="1"/>
  <c r="H252" i="3"/>
  <c r="I252" i="3" s="1"/>
  <c r="J252" i="3" s="1"/>
  <c r="H118" i="3"/>
  <c r="I118" i="3" s="1"/>
  <c r="J118" i="3" s="1"/>
  <c r="H95" i="3"/>
  <c r="I95" i="3" s="1"/>
  <c r="J95" i="3" s="1"/>
  <c r="H39" i="3"/>
  <c r="I39" i="3" s="1"/>
  <c r="J39" i="3" s="1"/>
  <c r="H124" i="3"/>
  <c r="I124" i="3" s="1"/>
  <c r="J124" i="3" s="1"/>
  <c r="H199" i="4"/>
  <c r="I199" i="4" s="1"/>
  <c r="J199" i="4" s="1"/>
  <c r="H40" i="3"/>
  <c r="I40" i="3" s="1"/>
  <c r="J40" i="3" s="1"/>
  <c r="H236" i="4"/>
  <c r="I236" i="4" s="1"/>
  <c r="J236" i="4" s="1"/>
  <c r="H170" i="3"/>
  <c r="I170" i="3" s="1"/>
  <c r="J170" i="3" s="1"/>
  <c r="H228" i="4"/>
  <c r="I228" i="4" s="1"/>
  <c r="J228" i="4" s="1"/>
  <c r="H65" i="3"/>
  <c r="I65" i="3" s="1"/>
  <c r="J65" i="3" s="1"/>
  <c r="H245" i="4"/>
  <c r="I245" i="4" s="1"/>
  <c r="J245" i="4" s="1"/>
  <c r="H210" i="4"/>
  <c r="I210" i="4" s="1"/>
  <c r="J210" i="4" s="1"/>
  <c r="H147" i="3"/>
  <c r="I147" i="3" s="1"/>
  <c r="J147" i="3" s="1"/>
  <c r="H5" i="4"/>
  <c r="I5" i="4" s="1"/>
  <c r="J5" i="4" s="1"/>
  <c r="H246" i="4"/>
  <c r="I246" i="4" s="1"/>
  <c r="J246" i="4" s="1"/>
  <c r="H16" i="3"/>
  <c r="I16" i="3" s="1"/>
  <c r="J16" i="3" s="1"/>
  <c r="H21" i="4"/>
  <c r="I21" i="4" s="1"/>
  <c r="J21" i="4" s="1"/>
  <c r="H241" i="4"/>
  <c r="I241" i="4" s="1"/>
  <c r="J241" i="4" s="1"/>
  <c r="H67" i="3"/>
  <c r="I67" i="3" s="1"/>
  <c r="J67" i="3" s="1"/>
  <c r="H175" i="4"/>
  <c r="I175" i="4" s="1"/>
  <c r="J175" i="4" s="1"/>
  <c r="H214" i="3"/>
  <c r="I214" i="3" s="1"/>
  <c r="J214" i="3" s="1"/>
  <c r="H158" i="4"/>
  <c r="I158" i="4" s="1"/>
  <c r="J158" i="4" s="1"/>
  <c r="H85" i="4"/>
  <c r="I85" i="4" s="1"/>
  <c r="J85" i="4" s="1"/>
  <c r="H56" i="3"/>
  <c r="I56" i="3" s="1"/>
  <c r="J56" i="3" s="1"/>
  <c r="H156" i="3"/>
  <c r="I156" i="3" s="1"/>
  <c r="J156" i="3" s="1"/>
  <c r="H225" i="4"/>
  <c r="I225" i="4" s="1"/>
  <c r="J225" i="4" s="1"/>
  <c r="H99" i="3"/>
  <c r="I99" i="3" s="1"/>
  <c r="J99" i="3" s="1"/>
  <c r="H227" i="3"/>
  <c r="I227" i="3" s="1"/>
  <c r="J227" i="3" s="1"/>
  <c r="P4" i="3"/>
  <c r="H229" i="4"/>
  <c r="I229" i="4" s="1"/>
  <c r="J229" i="4" s="1"/>
  <c r="H195" i="3"/>
  <c r="I195" i="3" s="1"/>
  <c r="J195" i="3" s="1"/>
  <c r="H131" i="3"/>
  <c r="I131" i="3" s="1"/>
  <c r="J131" i="3" s="1"/>
  <c r="H168" i="3"/>
  <c r="I168" i="3" s="1"/>
  <c r="J168" i="3" s="1"/>
  <c r="H211" i="3"/>
  <c r="I211" i="3" s="1"/>
  <c r="J211" i="3" s="1"/>
  <c r="H174" i="4"/>
  <c r="I174" i="4" s="1"/>
  <c r="J174" i="4" s="1"/>
  <c r="H90" i="4"/>
  <c r="I90" i="4" s="1"/>
  <c r="J90" i="4" s="1"/>
  <c r="H200" i="4"/>
  <c r="I200" i="4" s="1"/>
  <c r="J200" i="4" s="1"/>
  <c r="H152" i="4"/>
  <c r="I152" i="4" s="1"/>
  <c r="J152" i="4" s="1"/>
  <c r="H108" i="3"/>
  <c r="I108" i="3" s="1"/>
  <c r="J108" i="3" s="1"/>
  <c r="H133" i="4"/>
  <c r="I133" i="4" s="1"/>
  <c r="J133" i="4" s="1"/>
  <c r="H224" i="3"/>
  <c r="I224" i="3" s="1"/>
  <c r="J224" i="3" s="1"/>
  <c r="H31" i="3"/>
  <c r="I31" i="3" s="1"/>
  <c r="J31" i="3" s="1"/>
  <c r="H103" i="3"/>
  <c r="I103" i="3" s="1"/>
  <c r="J103" i="3" s="1"/>
  <c r="H32" i="3"/>
  <c r="I32" i="3" s="1"/>
  <c r="J32" i="3" s="1"/>
  <c r="H11" i="3"/>
  <c r="I11" i="3" s="1"/>
  <c r="J11" i="3" s="1"/>
  <c r="H133" i="3"/>
  <c r="I133" i="3" s="1"/>
  <c r="J133" i="3" s="1"/>
  <c r="H216" i="4"/>
  <c r="I216" i="4" s="1"/>
  <c r="J216" i="4" s="1"/>
  <c r="H35" i="3"/>
  <c r="I35" i="3" s="1"/>
  <c r="J35" i="3" s="1"/>
  <c r="H127" i="3"/>
  <c r="I127" i="3" s="1"/>
  <c r="J127" i="3" s="1"/>
  <c r="H248" i="4"/>
  <c r="I248" i="4" s="1"/>
  <c r="J248" i="4" s="1"/>
  <c r="H9" i="3"/>
  <c r="I9" i="3" s="1"/>
  <c r="J9" i="3" s="1"/>
  <c r="H4" i="4"/>
  <c r="I4" i="4" s="1"/>
  <c r="J4" i="4" s="1"/>
  <c r="H6" i="3"/>
  <c r="I6" i="3" s="1"/>
  <c r="J6" i="3" s="1"/>
  <c r="H7" i="3"/>
  <c r="I7" i="3" s="1"/>
  <c r="J7" i="3" s="1"/>
  <c r="H70" i="4"/>
  <c r="I70" i="4" s="1"/>
  <c r="J70" i="4" s="1"/>
  <c r="H188" i="4"/>
  <c r="I188" i="4" s="1"/>
  <c r="J188" i="4" s="1"/>
  <c r="H120" i="4"/>
  <c r="I120" i="4" s="1"/>
  <c r="J120" i="4" s="1"/>
  <c r="H190" i="4"/>
  <c r="I190" i="4" s="1"/>
  <c r="J190" i="4" s="1"/>
  <c r="H237" i="3"/>
  <c r="I237" i="3" s="1"/>
  <c r="J237" i="3" s="1"/>
  <c r="H15" i="4"/>
  <c r="I15" i="4" s="1"/>
  <c r="J15" i="4" s="1"/>
  <c r="H180" i="4"/>
  <c r="I180" i="4" s="1"/>
  <c r="J180" i="4" s="1"/>
  <c r="H140" i="3"/>
  <c r="I140" i="3" s="1"/>
  <c r="J140" i="3" s="1"/>
  <c r="H242" i="4"/>
  <c r="I242" i="4" s="1"/>
  <c r="J242" i="4" s="1"/>
  <c r="H179" i="4"/>
  <c r="I179" i="4" s="1"/>
  <c r="J179" i="4" s="1"/>
  <c r="H226" i="4"/>
  <c r="I226" i="4" s="1"/>
  <c r="J226" i="4" s="1"/>
  <c r="H234" i="3"/>
  <c r="I234" i="3" s="1"/>
  <c r="J234" i="3" s="1"/>
  <c r="H182" i="3"/>
  <c r="I182" i="3" s="1"/>
  <c r="J182" i="3" s="1"/>
  <c r="H182" i="4"/>
  <c r="I182" i="4" s="1"/>
  <c r="J182" i="4" s="1"/>
  <c r="H160" i="4"/>
  <c r="I160" i="4" s="1"/>
  <c r="J160" i="4" s="1"/>
  <c r="H188" i="3"/>
  <c r="I188" i="3" s="1"/>
  <c r="J188" i="3" s="1"/>
  <c r="H212" i="3"/>
  <c r="I212" i="3" s="1"/>
  <c r="J212" i="3" s="1"/>
  <c r="H191" i="3"/>
  <c r="I191" i="3" s="1"/>
  <c r="J191" i="3" s="1"/>
  <c r="H144" i="4"/>
  <c r="I144" i="4" s="1"/>
  <c r="J144" i="4" s="1"/>
  <c r="H244" i="3"/>
  <c r="I244" i="3" s="1"/>
  <c r="J244" i="3" s="1"/>
  <c r="H165" i="3"/>
  <c r="I165" i="3" s="1"/>
  <c r="J165" i="3" s="1"/>
  <c r="H145" i="4"/>
  <c r="I145" i="4" s="1"/>
  <c r="J145" i="4" s="1"/>
  <c r="H220" i="3"/>
  <c r="I220" i="3" s="1"/>
  <c r="J220" i="3" s="1"/>
  <c r="H138" i="3"/>
  <c r="I138" i="3" s="1"/>
  <c r="J138" i="3" s="1"/>
  <c r="L2" i="4" l="1"/>
  <c r="L2" i="3"/>
</calcChain>
</file>

<file path=xl/sharedStrings.xml><?xml version="1.0" encoding="utf-8"?>
<sst xmlns="http://schemas.openxmlformats.org/spreadsheetml/2006/main" count="110" uniqueCount="52">
  <si>
    <t>Date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</si>
  <si>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</si>
  <si>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</si>
  <si>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</si>
  <si>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</si>
  <si>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</si>
  <si>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</si>
  <si>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</si>
  <si>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</si>
  <si>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</si>
  <si>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</si>
  <si>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</si>
  <si>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</si>
  <si>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</si>
  <si>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Link</t>
  </si>
  <si>
    <t>https://home.treasury.gov/resource-center/data-chart-center/interest-rates/TextView?type=daily_treasury_yield_curve&amp;field_tdr_date_value=2024</t>
  </si>
  <si>
    <t xml:space="preserve">https://home.treasury.gov/resource-center/data-chart-center/interest-rates/TextView?type=daily_treasury_yield_curve&amp;field_tdr_date_value=2023 </t>
  </si>
  <si>
    <t>Sr. No.</t>
  </si>
  <si>
    <t>Actual</t>
  </si>
  <si>
    <t>Return</t>
  </si>
  <si>
    <t>r(t)-r(t-1)</t>
  </si>
  <si>
    <t>dr (V)</t>
  </si>
  <si>
    <t>r(t+1)-r(t) - dr(V)</t>
  </si>
  <si>
    <t>pdf</t>
  </si>
  <si>
    <t>ln(pdf)</t>
  </si>
  <si>
    <t>Sum</t>
  </si>
  <si>
    <t>Parameters</t>
  </si>
  <si>
    <t>Calibrated</t>
  </si>
  <si>
    <t>Initial</t>
  </si>
  <si>
    <t>mean reverting speed (a)</t>
  </si>
  <si>
    <t>long term mean (b)</t>
  </si>
  <si>
    <t>Volatility (sigma)</t>
  </si>
  <si>
    <t xml:space="preserve">Initial Interest Rate (r0) </t>
  </si>
  <si>
    <t>n_days</t>
  </si>
  <si>
    <t>dt (daily time step)</t>
  </si>
  <si>
    <t>Days</t>
  </si>
  <si>
    <t>Sims 1</t>
  </si>
  <si>
    <t>Sims 2</t>
  </si>
  <si>
    <t>Sims 3</t>
  </si>
  <si>
    <t>Sims 4</t>
  </si>
  <si>
    <t>Sims 5</t>
  </si>
  <si>
    <t>Sims 6</t>
  </si>
  <si>
    <t>Sims 7</t>
  </si>
  <si>
    <t>Sims 8</t>
  </si>
  <si>
    <t>Sims 9</t>
  </si>
  <si>
    <t>Sims 10</t>
  </si>
  <si>
    <t>Vasicek Interest Rate Model</t>
  </si>
  <si>
    <t>CIR Interest Rate Model</t>
  </si>
  <si>
    <t>dr (CIR)</t>
  </si>
  <si>
    <t>MLE</t>
  </si>
  <si>
    <t>r(t+1)-r(t) - dr(CIR)</t>
  </si>
  <si>
    <t>Ln(A X B X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</si>
</sst>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%"/>
    <numFmt numFmtId="166" formatCode="0.0000000"/>
    <numFmt numFmtId="167" formatCode="0.000000000"/>
    <numFmt numFmtId="168" formatCode="0.000"/>
    <numFmt numFmtId="169" formatCode="0.0000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  <font>
      <b/>
      <sz val="10"/>
      <color theme="0"/>
      <name val="Helvetica Neue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6" fillId="0" borderId="0" xfId="0" applyFont="1"/>
    <xf numFmtId="0" fontId="5" fillId="0" borderId="0" xfId="2"/>
    <xf numFmtId="14" fontId="6" fillId="0" borderId="0" xfId="0" applyNumberFormat="1" applyFont="1"/>
    <xf numFmtId="0" fontId="7" fillId="0" borderId="0" xfId="0" applyFont="1"/>
    <xf numFmtId="0" fontId="8" fillId="0" borderId="0" xfId="0" applyFont="1"/>
    <xf numFmtId="0" fontId="2" fillId="2" borderId="1" xfId="0" applyFont="1" applyFill="1" applyBorder="1"/>
    <xf numFmtId="0" fontId="9" fillId="2" borderId="2" xfId="0" applyFont="1" applyFill="1" applyBorder="1"/>
    <xf numFmtId="0" fontId="2" fillId="2" borderId="2" xfId="0" applyFont="1" applyFill="1" applyBorder="1"/>
    <xf numFmtId="164" fontId="4" fillId="2" borderId="2" xfId="0" applyNumberFormat="1" applyFont="1" applyFill="1" applyBorder="1"/>
    <xf numFmtId="0" fontId="2" fillId="2" borderId="3" xfId="0" applyFont="1" applyFill="1" applyBorder="1"/>
    <xf numFmtId="0" fontId="3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8" fontId="0" fillId="0" borderId="0" xfId="0" applyNumberFormat="1" applyAlignment="1">
      <alignment horizontal="left" vertical="top"/>
    </xf>
    <xf numFmtId="0" fontId="0" fillId="0" borderId="7" xfId="0" applyBorder="1"/>
    <xf numFmtId="168" fontId="0" fillId="0" borderId="0" xfId="0" applyNumberFormat="1"/>
    <xf numFmtId="168" fontId="0" fillId="0" borderId="8" xfId="0" applyNumberFormat="1" applyBorder="1"/>
    <xf numFmtId="0" fontId="0" fillId="0" borderId="8" xfId="0" applyBorder="1"/>
    <xf numFmtId="165" fontId="0" fillId="0" borderId="0" xfId="1" applyNumberFormat="1" applyFont="1" applyBorder="1"/>
    <xf numFmtId="165" fontId="0" fillId="0" borderId="8" xfId="1" applyNumberFormat="1" applyFont="1" applyBorder="1"/>
    <xf numFmtId="165" fontId="3" fillId="0" borderId="0" xfId="1" applyNumberFormat="1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 vertical="center"/>
    </xf>
    <xf numFmtId="14" fontId="6" fillId="0" borderId="10" xfId="0" applyNumberFormat="1" applyFont="1" applyBorder="1"/>
    <xf numFmtId="0" fontId="7" fillId="0" borderId="10" xfId="0" applyFont="1" applyBorder="1"/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0" xfId="0" applyFont="1" applyFill="1"/>
    <xf numFmtId="168" fontId="3" fillId="0" borderId="0" xfId="0" applyNumberFormat="1" applyFont="1"/>
    <xf numFmtId="165" fontId="3" fillId="0" borderId="0" xfId="1" applyNumberFormat="1" applyFont="1" applyBorder="1"/>
    <xf numFmtId="10" fontId="0" fillId="0" borderId="0" xfId="0" applyNumberFormat="1"/>
    <xf numFmtId="169" fontId="0" fillId="0" borderId="0" xfId="0" applyNumberFormat="1"/>
    <xf numFmtId="164" fontId="6" fillId="0" borderId="0" xfId="0" applyNumberFormat="1" applyFont="1"/>
    <xf numFmtId="0" fontId="10" fillId="2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 Month 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'2024'!$D$1</c:f>
              <c:strCache>
                <c:ptCount val="1"/>
                <c:pt idx="0">
                  <c:v>3 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'2024'!$A$2:$A$164</c:f>
              <c:numCache>
                <c:formatCode>m/d/yy</c:formatCode>
                <c:ptCount val="163"/>
                <c:pt idx="0">
                  <c:v>45527</c:v>
                </c:pt>
                <c:pt idx="1">
                  <c:v>45526</c:v>
                </c:pt>
                <c:pt idx="2">
                  <c:v>45525</c:v>
                </c:pt>
                <c:pt idx="3">
                  <c:v>45524</c:v>
                </c:pt>
                <c:pt idx="4">
                  <c:v>45523</c:v>
                </c:pt>
                <c:pt idx="5">
                  <c:v>45520</c:v>
                </c:pt>
                <c:pt idx="6">
                  <c:v>45519</c:v>
                </c:pt>
                <c:pt idx="7">
                  <c:v>45518</c:v>
                </c:pt>
                <c:pt idx="8">
                  <c:v>45517</c:v>
                </c:pt>
                <c:pt idx="9">
                  <c:v>45516</c:v>
                </c:pt>
                <c:pt idx="10">
                  <c:v>45513</c:v>
                </c:pt>
                <c:pt idx="11">
                  <c:v>45512</c:v>
                </c:pt>
                <c:pt idx="12">
                  <c:v>45511</c:v>
                </c:pt>
                <c:pt idx="13">
                  <c:v>45510</c:v>
                </c:pt>
                <c:pt idx="14">
                  <c:v>45509</c:v>
                </c:pt>
                <c:pt idx="15">
                  <c:v>45506</c:v>
                </c:pt>
                <c:pt idx="16">
                  <c:v>45505</c:v>
                </c:pt>
                <c:pt idx="17">
                  <c:v>45504</c:v>
                </c:pt>
                <c:pt idx="18">
                  <c:v>45503</c:v>
                </c:pt>
                <c:pt idx="19">
                  <c:v>45502</c:v>
                </c:pt>
                <c:pt idx="20">
                  <c:v>45499</c:v>
                </c:pt>
                <c:pt idx="21">
                  <c:v>45498</c:v>
                </c:pt>
                <c:pt idx="22">
                  <c:v>45497</c:v>
                </c:pt>
                <c:pt idx="23">
                  <c:v>45496</c:v>
                </c:pt>
                <c:pt idx="24">
                  <c:v>45495</c:v>
                </c:pt>
                <c:pt idx="25">
                  <c:v>45492</c:v>
                </c:pt>
                <c:pt idx="26">
                  <c:v>45491</c:v>
                </c:pt>
                <c:pt idx="27">
                  <c:v>45490</c:v>
                </c:pt>
                <c:pt idx="28">
                  <c:v>45489</c:v>
                </c:pt>
                <c:pt idx="29">
                  <c:v>45488</c:v>
                </c:pt>
                <c:pt idx="30">
                  <c:v>45485</c:v>
                </c:pt>
                <c:pt idx="31">
                  <c:v>45484</c:v>
                </c:pt>
                <c:pt idx="32">
                  <c:v>45483</c:v>
                </c:pt>
                <c:pt idx="33">
                  <c:v>45482</c:v>
                </c:pt>
                <c:pt idx="34">
                  <c:v>45481</c:v>
                </c:pt>
                <c:pt idx="35">
                  <c:v>45478</c:v>
                </c:pt>
                <c:pt idx="36">
                  <c:v>45476</c:v>
                </c:pt>
                <c:pt idx="37">
                  <c:v>45475</c:v>
                </c:pt>
                <c:pt idx="38">
                  <c:v>45474</c:v>
                </c:pt>
                <c:pt idx="39">
                  <c:v>45471</c:v>
                </c:pt>
                <c:pt idx="40">
                  <c:v>45470</c:v>
                </c:pt>
                <c:pt idx="41">
                  <c:v>45469</c:v>
                </c:pt>
                <c:pt idx="42">
                  <c:v>45468</c:v>
                </c:pt>
                <c:pt idx="43">
                  <c:v>45467</c:v>
                </c:pt>
                <c:pt idx="44">
                  <c:v>45464</c:v>
                </c:pt>
                <c:pt idx="45">
                  <c:v>45463</c:v>
                </c:pt>
                <c:pt idx="46">
                  <c:v>45461</c:v>
                </c:pt>
                <c:pt idx="47">
                  <c:v>45460</c:v>
                </c:pt>
                <c:pt idx="48">
                  <c:v>45457</c:v>
                </c:pt>
                <c:pt idx="49">
                  <c:v>45456</c:v>
                </c:pt>
                <c:pt idx="50">
                  <c:v>45455</c:v>
                </c:pt>
                <c:pt idx="51">
                  <c:v>45454</c:v>
                </c:pt>
                <c:pt idx="52">
                  <c:v>45453</c:v>
                </c:pt>
                <c:pt idx="53">
                  <c:v>45450</c:v>
                </c:pt>
                <c:pt idx="54">
                  <c:v>45449</c:v>
                </c:pt>
                <c:pt idx="55">
                  <c:v>45448</c:v>
                </c:pt>
                <c:pt idx="56">
                  <c:v>45447</c:v>
                </c:pt>
                <c:pt idx="57">
                  <c:v>45446</c:v>
                </c:pt>
                <c:pt idx="58">
                  <c:v>45443</c:v>
                </c:pt>
                <c:pt idx="59">
                  <c:v>45442</c:v>
                </c:pt>
                <c:pt idx="60">
                  <c:v>45441</c:v>
                </c:pt>
                <c:pt idx="61">
                  <c:v>45440</c:v>
                </c:pt>
                <c:pt idx="62">
                  <c:v>45436</c:v>
                </c:pt>
                <c:pt idx="63">
                  <c:v>45435</c:v>
                </c:pt>
                <c:pt idx="64">
                  <c:v>45434</c:v>
                </c:pt>
                <c:pt idx="65">
                  <c:v>45433</c:v>
                </c:pt>
                <c:pt idx="66">
                  <c:v>45432</c:v>
                </c:pt>
                <c:pt idx="67">
                  <c:v>45429</c:v>
                </c:pt>
                <c:pt idx="68">
                  <c:v>45428</c:v>
                </c:pt>
                <c:pt idx="69">
                  <c:v>45427</c:v>
                </c:pt>
                <c:pt idx="70">
                  <c:v>45426</c:v>
                </c:pt>
                <c:pt idx="71">
                  <c:v>45425</c:v>
                </c:pt>
                <c:pt idx="72">
                  <c:v>45422</c:v>
                </c:pt>
                <c:pt idx="73">
                  <c:v>45421</c:v>
                </c:pt>
                <c:pt idx="74">
                  <c:v>45420</c:v>
                </c:pt>
                <c:pt idx="75">
                  <c:v>45419</c:v>
                </c:pt>
                <c:pt idx="76">
                  <c:v>45418</c:v>
                </c:pt>
                <c:pt idx="77">
                  <c:v>45415</c:v>
                </c:pt>
                <c:pt idx="78">
                  <c:v>45414</c:v>
                </c:pt>
                <c:pt idx="79">
                  <c:v>45413</c:v>
                </c:pt>
                <c:pt idx="80">
                  <c:v>45412</c:v>
                </c:pt>
                <c:pt idx="81">
                  <c:v>45411</c:v>
                </c:pt>
                <c:pt idx="82">
                  <c:v>45408</c:v>
                </c:pt>
                <c:pt idx="83">
                  <c:v>45407</c:v>
                </c:pt>
                <c:pt idx="84">
                  <c:v>45406</c:v>
                </c:pt>
                <c:pt idx="85">
                  <c:v>45405</c:v>
                </c:pt>
                <c:pt idx="86">
                  <c:v>45404</c:v>
                </c:pt>
                <c:pt idx="87">
                  <c:v>45401</c:v>
                </c:pt>
                <c:pt idx="88">
                  <c:v>45400</c:v>
                </c:pt>
                <c:pt idx="89">
                  <c:v>45399</c:v>
                </c:pt>
                <c:pt idx="90">
                  <c:v>45398</c:v>
                </c:pt>
                <c:pt idx="91">
                  <c:v>45397</c:v>
                </c:pt>
                <c:pt idx="92">
                  <c:v>45394</c:v>
                </c:pt>
                <c:pt idx="93">
                  <c:v>45393</c:v>
                </c:pt>
                <c:pt idx="94">
                  <c:v>45392</c:v>
                </c:pt>
                <c:pt idx="95">
                  <c:v>45391</c:v>
                </c:pt>
                <c:pt idx="96">
                  <c:v>45390</c:v>
                </c:pt>
                <c:pt idx="97">
                  <c:v>45387</c:v>
                </c:pt>
                <c:pt idx="98">
                  <c:v>45386</c:v>
                </c:pt>
                <c:pt idx="99">
                  <c:v>45385</c:v>
                </c:pt>
                <c:pt idx="100">
                  <c:v>45384</c:v>
                </c:pt>
                <c:pt idx="101">
                  <c:v>45383</c:v>
                </c:pt>
                <c:pt idx="102">
                  <c:v>45379</c:v>
                </c:pt>
                <c:pt idx="103">
                  <c:v>45378</c:v>
                </c:pt>
                <c:pt idx="104">
                  <c:v>45377</c:v>
                </c:pt>
                <c:pt idx="105">
                  <c:v>45376</c:v>
                </c:pt>
                <c:pt idx="106">
                  <c:v>45373</c:v>
                </c:pt>
                <c:pt idx="107">
                  <c:v>45372</c:v>
                </c:pt>
                <c:pt idx="108">
                  <c:v>45371</c:v>
                </c:pt>
                <c:pt idx="109">
                  <c:v>45370</c:v>
                </c:pt>
                <c:pt idx="110">
                  <c:v>45369</c:v>
                </c:pt>
                <c:pt idx="111">
                  <c:v>45366</c:v>
                </c:pt>
                <c:pt idx="112">
                  <c:v>45365</c:v>
                </c:pt>
                <c:pt idx="113">
                  <c:v>45364</c:v>
                </c:pt>
                <c:pt idx="114">
                  <c:v>45363</c:v>
                </c:pt>
                <c:pt idx="115">
                  <c:v>45362</c:v>
                </c:pt>
                <c:pt idx="116">
                  <c:v>45359</c:v>
                </c:pt>
                <c:pt idx="117">
                  <c:v>45358</c:v>
                </c:pt>
                <c:pt idx="118">
                  <c:v>45357</c:v>
                </c:pt>
                <c:pt idx="119">
                  <c:v>45356</c:v>
                </c:pt>
                <c:pt idx="120">
                  <c:v>45355</c:v>
                </c:pt>
                <c:pt idx="121">
                  <c:v>45352</c:v>
                </c:pt>
                <c:pt idx="122">
                  <c:v>45351</c:v>
                </c:pt>
                <c:pt idx="123">
                  <c:v>45350</c:v>
                </c:pt>
                <c:pt idx="124">
                  <c:v>45349</c:v>
                </c:pt>
                <c:pt idx="125">
                  <c:v>45348</c:v>
                </c:pt>
                <c:pt idx="126">
                  <c:v>45345</c:v>
                </c:pt>
                <c:pt idx="127">
                  <c:v>45344</c:v>
                </c:pt>
                <c:pt idx="128">
                  <c:v>45343</c:v>
                </c:pt>
                <c:pt idx="129">
                  <c:v>45342</c:v>
                </c:pt>
                <c:pt idx="130">
                  <c:v>45338</c:v>
                </c:pt>
                <c:pt idx="131">
                  <c:v>45337</c:v>
                </c:pt>
                <c:pt idx="132">
                  <c:v>45336</c:v>
                </c:pt>
                <c:pt idx="133">
                  <c:v>45335</c:v>
                </c:pt>
                <c:pt idx="134">
                  <c:v>45334</c:v>
                </c:pt>
                <c:pt idx="135">
                  <c:v>45331</c:v>
                </c:pt>
                <c:pt idx="136">
                  <c:v>45330</c:v>
                </c:pt>
                <c:pt idx="137">
                  <c:v>45329</c:v>
                </c:pt>
                <c:pt idx="138">
                  <c:v>45328</c:v>
                </c:pt>
                <c:pt idx="139">
                  <c:v>45327</c:v>
                </c:pt>
                <c:pt idx="140">
                  <c:v>45324</c:v>
                </c:pt>
                <c:pt idx="141">
                  <c:v>45323</c:v>
                </c:pt>
                <c:pt idx="142">
                  <c:v>45322</c:v>
                </c:pt>
                <c:pt idx="143">
                  <c:v>45321</c:v>
                </c:pt>
                <c:pt idx="144">
                  <c:v>45320</c:v>
                </c:pt>
                <c:pt idx="145">
                  <c:v>45317</c:v>
                </c:pt>
                <c:pt idx="146">
                  <c:v>45316</c:v>
                </c:pt>
                <c:pt idx="147">
                  <c:v>45315</c:v>
                </c:pt>
                <c:pt idx="148">
                  <c:v>45314</c:v>
                </c:pt>
                <c:pt idx="149">
                  <c:v>45313</c:v>
                </c:pt>
                <c:pt idx="150">
                  <c:v>45310</c:v>
                </c:pt>
                <c:pt idx="151">
                  <c:v>45309</c:v>
                </c:pt>
                <c:pt idx="152">
                  <c:v>45308</c:v>
                </c:pt>
                <c:pt idx="153">
                  <c:v>45307</c:v>
                </c:pt>
                <c:pt idx="154">
                  <c:v>45303</c:v>
                </c:pt>
                <c:pt idx="155">
                  <c:v>45302</c:v>
                </c:pt>
                <c:pt idx="156">
                  <c:v>45301</c:v>
                </c:pt>
                <c:pt idx="157">
                  <c:v>45300</c:v>
                </c:pt>
                <c:pt idx="158">
                  <c:v>45299</c:v>
                </c:pt>
                <c:pt idx="159">
                  <c:v>45296</c:v>
                </c:pt>
                <c:pt idx="160">
                  <c:v>45295</c:v>
                </c:pt>
                <c:pt idx="161">
                  <c:v>45294</c:v>
                </c:pt>
                <c:pt idx="162">
                  <c:v>45293</c:v>
                </c:pt>
              </c:numCache>
            </c:numRef>
          </c:cat>
          <c:val>
            <c:numRef>
              <c:f>'2024'!$D$2:$D$164</c:f>
              <c:numCache>
                <c:formatCode>General</c:formatCode>
                <c:ptCount val="163"/>
                <c:pt idx="0">
                  <c:v>5.25</c:v>
                </c:pt>
                <c:pt idx="1">
                  <c:v>5.28</c:v>
                </c:pt>
                <c:pt idx="2">
                  <c:v>5.26</c:v>
                </c:pt>
                <c:pt idx="3">
                  <c:v>5.29</c:v>
                </c:pt>
                <c:pt idx="4">
                  <c:v>5.31</c:v>
                </c:pt>
                <c:pt idx="5">
                  <c:v>5.33</c:v>
                </c:pt>
                <c:pt idx="6">
                  <c:v>5.34</c:v>
                </c:pt>
                <c:pt idx="7">
                  <c:v>5.32</c:v>
                </c:pt>
                <c:pt idx="8">
                  <c:v>5.32</c:v>
                </c:pt>
                <c:pt idx="9">
                  <c:v>5.33</c:v>
                </c:pt>
                <c:pt idx="10">
                  <c:v>5.33</c:v>
                </c:pt>
                <c:pt idx="11">
                  <c:v>5.34</c:v>
                </c:pt>
                <c:pt idx="12">
                  <c:v>5.34</c:v>
                </c:pt>
                <c:pt idx="13">
                  <c:v>5.34</c:v>
                </c:pt>
                <c:pt idx="14">
                  <c:v>5.35</c:v>
                </c:pt>
                <c:pt idx="15">
                  <c:v>5.29</c:v>
                </c:pt>
                <c:pt idx="16">
                  <c:v>5.37</c:v>
                </c:pt>
                <c:pt idx="17">
                  <c:v>5.41</c:v>
                </c:pt>
                <c:pt idx="18">
                  <c:v>5.4</c:v>
                </c:pt>
                <c:pt idx="19">
                  <c:v>5.41</c:v>
                </c:pt>
                <c:pt idx="20">
                  <c:v>5.38</c:v>
                </c:pt>
                <c:pt idx="21">
                  <c:v>5.39</c:v>
                </c:pt>
                <c:pt idx="22">
                  <c:v>5.4</c:v>
                </c:pt>
                <c:pt idx="23">
                  <c:v>5.41</c:v>
                </c:pt>
                <c:pt idx="24">
                  <c:v>5.43</c:v>
                </c:pt>
                <c:pt idx="25">
                  <c:v>5.43</c:v>
                </c:pt>
                <c:pt idx="26">
                  <c:v>5.43</c:v>
                </c:pt>
                <c:pt idx="27">
                  <c:v>5.43</c:v>
                </c:pt>
                <c:pt idx="28">
                  <c:v>5.43</c:v>
                </c:pt>
                <c:pt idx="29">
                  <c:v>5.43</c:v>
                </c:pt>
                <c:pt idx="30">
                  <c:v>5.43</c:v>
                </c:pt>
                <c:pt idx="31">
                  <c:v>5.44</c:v>
                </c:pt>
                <c:pt idx="32">
                  <c:v>5.46</c:v>
                </c:pt>
                <c:pt idx="33">
                  <c:v>5.46</c:v>
                </c:pt>
                <c:pt idx="34">
                  <c:v>5.46</c:v>
                </c:pt>
                <c:pt idx="35">
                  <c:v>5.46</c:v>
                </c:pt>
                <c:pt idx="36">
                  <c:v>5.47</c:v>
                </c:pt>
                <c:pt idx="37">
                  <c:v>5.47</c:v>
                </c:pt>
                <c:pt idx="38">
                  <c:v>5.47</c:v>
                </c:pt>
                <c:pt idx="39">
                  <c:v>5.48</c:v>
                </c:pt>
                <c:pt idx="40">
                  <c:v>5.49</c:v>
                </c:pt>
                <c:pt idx="41">
                  <c:v>5.5</c:v>
                </c:pt>
                <c:pt idx="42">
                  <c:v>5.49</c:v>
                </c:pt>
                <c:pt idx="43">
                  <c:v>5.5</c:v>
                </c:pt>
                <c:pt idx="44">
                  <c:v>5.49</c:v>
                </c:pt>
                <c:pt idx="45">
                  <c:v>5.5</c:v>
                </c:pt>
                <c:pt idx="46">
                  <c:v>5.5</c:v>
                </c:pt>
                <c:pt idx="47">
                  <c:v>5.52</c:v>
                </c:pt>
                <c:pt idx="48">
                  <c:v>5.51</c:v>
                </c:pt>
                <c:pt idx="49">
                  <c:v>5.51</c:v>
                </c:pt>
                <c:pt idx="50">
                  <c:v>5.51</c:v>
                </c:pt>
                <c:pt idx="51">
                  <c:v>5.52</c:v>
                </c:pt>
                <c:pt idx="52">
                  <c:v>5.52</c:v>
                </c:pt>
                <c:pt idx="53">
                  <c:v>5.52</c:v>
                </c:pt>
                <c:pt idx="54">
                  <c:v>5.51</c:v>
                </c:pt>
                <c:pt idx="55">
                  <c:v>5.51</c:v>
                </c:pt>
                <c:pt idx="56">
                  <c:v>5.52</c:v>
                </c:pt>
                <c:pt idx="57">
                  <c:v>5.52</c:v>
                </c:pt>
                <c:pt idx="58">
                  <c:v>5.46</c:v>
                </c:pt>
                <c:pt idx="59">
                  <c:v>5.46</c:v>
                </c:pt>
                <c:pt idx="60">
                  <c:v>5.46</c:v>
                </c:pt>
                <c:pt idx="61">
                  <c:v>5.46</c:v>
                </c:pt>
                <c:pt idx="62">
                  <c:v>5.46</c:v>
                </c:pt>
                <c:pt idx="63">
                  <c:v>5.46</c:v>
                </c:pt>
                <c:pt idx="64">
                  <c:v>5.45</c:v>
                </c:pt>
                <c:pt idx="65">
                  <c:v>5.45</c:v>
                </c:pt>
                <c:pt idx="66">
                  <c:v>5.45</c:v>
                </c:pt>
                <c:pt idx="67">
                  <c:v>5.46</c:v>
                </c:pt>
                <c:pt idx="68">
                  <c:v>5.45</c:v>
                </c:pt>
                <c:pt idx="69">
                  <c:v>5.45</c:v>
                </c:pt>
                <c:pt idx="70">
                  <c:v>5.44</c:v>
                </c:pt>
                <c:pt idx="71">
                  <c:v>5.45</c:v>
                </c:pt>
                <c:pt idx="72">
                  <c:v>5.47</c:v>
                </c:pt>
                <c:pt idx="73">
                  <c:v>5.46</c:v>
                </c:pt>
                <c:pt idx="74">
                  <c:v>5.45</c:v>
                </c:pt>
                <c:pt idx="75">
                  <c:v>5.45</c:v>
                </c:pt>
                <c:pt idx="76">
                  <c:v>5.45</c:v>
                </c:pt>
                <c:pt idx="77">
                  <c:v>5.45</c:v>
                </c:pt>
                <c:pt idx="78">
                  <c:v>5.46</c:v>
                </c:pt>
                <c:pt idx="79">
                  <c:v>5.46</c:v>
                </c:pt>
                <c:pt idx="80">
                  <c:v>5.46</c:v>
                </c:pt>
                <c:pt idx="81">
                  <c:v>5.45</c:v>
                </c:pt>
                <c:pt idx="82">
                  <c:v>5.46</c:v>
                </c:pt>
                <c:pt idx="83">
                  <c:v>5.47</c:v>
                </c:pt>
                <c:pt idx="84">
                  <c:v>5.46</c:v>
                </c:pt>
                <c:pt idx="85">
                  <c:v>5.45</c:v>
                </c:pt>
                <c:pt idx="86">
                  <c:v>5.42</c:v>
                </c:pt>
                <c:pt idx="87">
                  <c:v>5.45</c:v>
                </c:pt>
                <c:pt idx="88">
                  <c:v>5.46</c:v>
                </c:pt>
                <c:pt idx="89">
                  <c:v>5.45</c:v>
                </c:pt>
                <c:pt idx="90">
                  <c:v>5.45</c:v>
                </c:pt>
                <c:pt idx="91">
                  <c:v>5.45</c:v>
                </c:pt>
                <c:pt idx="92">
                  <c:v>5.45</c:v>
                </c:pt>
                <c:pt idx="93">
                  <c:v>5.45</c:v>
                </c:pt>
                <c:pt idx="94">
                  <c:v>5.45</c:v>
                </c:pt>
                <c:pt idx="95">
                  <c:v>5.43</c:v>
                </c:pt>
                <c:pt idx="96">
                  <c:v>5.43</c:v>
                </c:pt>
                <c:pt idx="97">
                  <c:v>5.43</c:v>
                </c:pt>
                <c:pt idx="98">
                  <c:v>5.41</c:v>
                </c:pt>
                <c:pt idx="99">
                  <c:v>5.42</c:v>
                </c:pt>
                <c:pt idx="100">
                  <c:v>5.42</c:v>
                </c:pt>
                <c:pt idx="101">
                  <c:v>5.44</c:v>
                </c:pt>
                <c:pt idx="102">
                  <c:v>5.46</c:v>
                </c:pt>
                <c:pt idx="103">
                  <c:v>5.45</c:v>
                </c:pt>
                <c:pt idx="104">
                  <c:v>5.46</c:v>
                </c:pt>
                <c:pt idx="105">
                  <c:v>5.46</c:v>
                </c:pt>
                <c:pt idx="106">
                  <c:v>5.46</c:v>
                </c:pt>
                <c:pt idx="107">
                  <c:v>5.48</c:v>
                </c:pt>
                <c:pt idx="108">
                  <c:v>5.47</c:v>
                </c:pt>
                <c:pt idx="109">
                  <c:v>5.48</c:v>
                </c:pt>
                <c:pt idx="110">
                  <c:v>5.48</c:v>
                </c:pt>
                <c:pt idx="111">
                  <c:v>5.48</c:v>
                </c:pt>
                <c:pt idx="112">
                  <c:v>5.48</c:v>
                </c:pt>
                <c:pt idx="113">
                  <c:v>5.48</c:v>
                </c:pt>
                <c:pt idx="114">
                  <c:v>5.48</c:v>
                </c:pt>
                <c:pt idx="115">
                  <c:v>5.48</c:v>
                </c:pt>
                <c:pt idx="116">
                  <c:v>5.46</c:v>
                </c:pt>
                <c:pt idx="117">
                  <c:v>5.47</c:v>
                </c:pt>
                <c:pt idx="118">
                  <c:v>5.47</c:v>
                </c:pt>
                <c:pt idx="119">
                  <c:v>5.47</c:v>
                </c:pt>
                <c:pt idx="120">
                  <c:v>5.48</c:v>
                </c:pt>
                <c:pt idx="121">
                  <c:v>5.42</c:v>
                </c:pt>
                <c:pt idx="122">
                  <c:v>5.45</c:v>
                </c:pt>
                <c:pt idx="123">
                  <c:v>5.45</c:v>
                </c:pt>
                <c:pt idx="124">
                  <c:v>5.45</c:v>
                </c:pt>
                <c:pt idx="125">
                  <c:v>5.47</c:v>
                </c:pt>
                <c:pt idx="126">
                  <c:v>5.46</c:v>
                </c:pt>
                <c:pt idx="127">
                  <c:v>5.45</c:v>
                </c:pt>
                <c:pt idx="128">
                  <c:v>5.44</c:v>
                </c:pt>
                <c:pt idx="129">
                  <c:v>5.44</c:v>
                </c:pt>
                <c:pt idx="130">
                  <c:v>5.44</c:v>
                </c:pt>
                <c:pt idx="131">
                  <c:v>5.43</c:v>
                </c:pt>
                <c:pt idx="132">
                  <c:v>5.43</c:v>
                </c:pt>
                <c:pt idx="133">
                  <c:v>5.45</c:v>
                </c:pt>
                <c:pt idx="134">
                  <c:v>5.43</c:v>
                </c:pt>
                <c:pt idx="135">
                  <c:v>5.44</c:v>
                </c:pt>
                <c:pt idx="136">
                  <c:v>5.44</c:v>
                </c:pt>
                <c:pt idx="137">
                  <c:v>5.43</c:v>
                </c:pt>
                <c:pt idx="138">
                  <c:v>5.44</c:v>
                </c:pt>
                <c:pt idx="139">
                  <c:v>5.42</c:v>
                </c:pt>
                <c:pt idx="140">
                  <c:v>5.43</c:v>
                </c:pt>
                <c:pt idx="141">
                  <c:v>5.42</c:v>
                </c:pt>
                <c:pt idx="142">
                  <c:v>5.42</c:v>
                </c:pt>
                <c:pt idx="143">
                  <c:v>5.42</c:v>
                </c:pt>
                <c:pt idx="144">
                  <c:v>5.42</c:v>
                </c:pt>
                <c:pt idx="145">
                  <c:v>5.44</c:v>
                </c:pt>
                <c:pt idx="146">
                  <c:v>5.44</c:v>
                </c:pt>
                <c:pt idx="147">
                  <c:v>5.44</c:v>
                </c:pt>
                <c:pt idx="148">
                  <c:v>5.45</c:v>
                </c:pt>
                <c:pt idx="149">
                  <c:v>5.46</c:v>
                </c:pt>
                <c:pt idx="150">
                  <c:v>5.45</c:v>
                </c:pt>
                <c:pt idx="151">
                  <c:v>5.45</c:v>
                </c:pt>
                <c:pt idx="152">
                  <c:v>5.47</c:v>
                </c:pt>
                <c:pt idx="153">
                  <c:v>5.45</c:v>
                </c:pt>
                <c:pt idx="154">
                  <c:v>5.45</c:v>
                </c:pt>
                <c:pt idx="155">
                  <c:v>5.46</c:v>
                </c:pt>
                <c:pt idx="156">
                  <c:v>5.46</c:v>
                </c:pt>
                <c:pt idx="157">
                  <c:v>5.47</c:v>
                </c:pt>
                <c:pt idx="158">
                  <c:v>5.49</c:v>
                </c:pt>
                <c:pt idx="159">
                  <c:v>5.47</c:v>
                </c:pt>
                <c:pt idx="160">
                  <c:v>5.48</c:v>
                </c:pt>
                <c:pt idx="161">
                  <c:v>5.48</c:v>
                </c:pt>
                <c:pt idx="162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9-C94E-A596-626528783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5821504"/>
        <c:axId val="206567168"/>
      </c:lineChart>
      <c:dateAx>
        <c:axId val="205821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67168"/>
        <c:crosses val="autoZero"/>
        <c:auto val="1"/>
        <c:lblOffset val="100"/>
        <c:baseTimeUnit val="days"/>
      </c:dateAx>
      <c:valAx>
        <c:axId val="20656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215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3 Month 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'2023'!$D$1</c:f>
              <c:strCache>
                <c:ptCount val="1"/>
                <c:pt idx="0">
                  <c:v>3 Mo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'2023'!$A$2:$A$251</c:f>
              <c:numCache>
                <c:formatCode>m/d/yy</c:formatCode>
                <c:ptCount val="250"/>
                <c:pt idx="0">
                  <c:v>45289</c:v>
                </c:pt>
                <c:pt idx="1">
                  <c:v>45288</c:v>
                </c:pt>
                <c:pt idx="2">
                  <c:v>45287</c:v>
                </c:pt>
                <c:pt idx="3">
                  <c:v>45286</c:v>
                </c:pt>
                <c:pt idx="4">
                  <c:v>45282</c:v>
                </c:pt>
                <c:pt idx="5">
                  <c:v>45281</c:v>
                </c:pt>
                <c:pt idx="6">
                  <c:v>45280</c:v>
                </c:pt>
                <c:pt idx="7">
                  <c:v>45279</c:v>
                </c:pt>
                <c:pt idx="8">
                  <c:v>45278</c:v>
                </c:pt>
                <c:pt idx="9">
                  <c:v>45275</c:v>
                </c:pt>
                <c:pt idx="10">
                  <c:v>45274</c:v>
                </c:pt>
                <c:pt idx="11">
                  <c:v>45273</c:v>
                </c:pt>
                <c:pt idx="12">
                  <c:v>45272</c:v>
                </c:pt>
                <c:pt idx="13">
                  <c:v>45271</c:v>
                </c:pt>
                <c:pt idx="14">
                  <c:v>45268</c:v>
                </c:pt>
                <c:pt idx="15">
                  <c:v>45267</c:v>
                </c:pt>
                <c:pt idx="16">
                  <c:v>45266</c:v>
                </c:pt>
                <c:pt idx="17">
                  <c:v>45265</c:v>
                </c:pt>
                <c:pt idx="18">
                  <c:v>45264</c:v>
                </c:pt>
                <c:pt idx="19">
                  <c:v>45261</c:v>
                </c:pt>
                <c:pt idx="20">
                  <c:v>45260</c:v>
                </c:pt>
                <c:pt idx="21">
                  <c:v>45259</c:v>
                </c:pt>
                <c:pt idx="22">
                  <c:v>45258</c:v>
                </c:pt>
                <c:pt idx="23">
                  <c:v>45257</c:v>
                </c:pt>
                <c:pt idx="24">
                  <c:v>45254</c:v>
                </c:pt>
                <c:pt idx="25">
                  <c:v>45252</c:v>
                </c:pt>
                <c:pt idx="26">
                  <c:v>45251</c:v>
                </c:pt>
                <c:pt idx="27">
                  <c:v>45250</c:v>
                </c:pt>
                <c:pt idx="28">
                  <c:v>45247</c:v>
                </c:pt>
                <c:pt idx="29">
                  <c:v>45246</c:v>
                </c:pt>
                <c:pt idx="30">
                  <c:v>45245</c:v>
                </c:pt>
                <c:pt idx="31">
                  <c:v>45244</c:v>
                </c:pt>
                <c:pt idx="32">
                  <c:v>45243</c:v>
                </c:pt>
                <c:pt idx="33">
                  <c:v>45240</c:v>
                </c:pt>
                <c:pt idx="34">
                  <c:v>45239</c:v>
                </c:pt>
                <c:pt idx="35">
                  <c:v>45238</c:v>
                </c:pt>
                <c:pt idx="36">
                  <c:v>45237</c:v>
                </c:pt>
                <c:pt idx="37">
                  <c:v>45236</c:v>
                </c:pt>
                <c:pt idx="38">
                  <c:v>45233</c:v>
                </c:pt>
                <c:pt idx="39">
                  <c:v>45232</c:v>
                </c:pt>
                <c:pt idx="40">
                  <c:v>45231</c:v>
                </c:pt>
                <c:pt idx="41">
                  <c:v>45230</c:v>
                </c:pt>
                <c:pt idx="42">
                  <c:v>45229</c:v>
                </c:pt>
                <c:pt idx="43">
                  <c:v>45226</c:v>
                </c:pt>
                <c:pt idx="44">
                  <c:v>45225</c:v>
                </c:pt>
                <c:pt idx="45">
                  <c:v>45224</c:v>
                </c:pt>
                <c:pt idx="46">
                  <c:v>45223</c:v>
                </c:pt>
                <c:pt idx="47">
                  <c:v>45222</c:v>
                </c:pt>
                <c:pt idx="48">
                  <c:v>45219</c:v>
                </c:pt>
                <c:pt idx="49">
                  <c:v>45218</c:v>
                </c:pt>
                <c:pt idx="50">
                  <c:v>45217</c:v>
                </c:pt>
                <c:pt idx="51">
                  <c:v>45216</c:v>
                </c:pt>
                <c:pt idx="52">
                  <c:v>45215</c:v>
                </c:pt>
                <c:pt idx="53">
                  <c:v>45212</c:v>
                </c:pt>
                <c:pt idx="54">
                  <c:v>45211</c:v>
                </c:pt>
                <c:pt idx="55">
                  <c:v>45210</c:v>
                </c:pt>
                <c:pt idx="56">
                  <c:v>45209</c:v>
                </c:pt>
                <c:pt idx="57">
                  <c:v>45205</c:v>
                </c:pt>
                <c:pt idx="58">
                  <c:v>45204</c:v>
                </c:pt>
                <c:pt idx="59">
                  <c:v>45203</c:v>
                </c:pt>
                <c:pt idx="60">
                  <c:v>45202</c:v>
                </c:pt>
                <c:pt idx="61">
                  <c:v>45201</c:v>
                </c:pt>
                <c:pt idx="62">
                  <c:v>45198</c:v>
                </c:pt>
                <c:pt idx="63">
                  <c:v>45197</c:v>
                </c:pt>
                <c:pt idx="64">
                  <c:v>45196</c:v>
                </c:pt>
                <c:pt idx="65">
                  <c:v>45195</c:v>
                </c:pt>
                <c:pt idx="66">
                  <c:v>45194</c:v>
                </c:pt>
                <c:pt idx="67">
                  <c:v>45191</c:v>
                </c:pt>
                <c:pt idx="68">
                  <c:v>45190</c:v>
                </c:pt>
                <c:pt idx="69">
                  <c:v>45189</c:v>
                </c:pt>
                <c:pt idx="70">
                  <c:v>45188</c:v>
                </c:pt>
                <c:pt idx="71">
                  <c:v>45187</c:v>
                </c:pt>
                <c:pt idx="72">
                  <c:v>45184</c:v>
                </c:pt>
                <c:pt idx="73">
                  <c:v>45183</c:v>
                </c:pt>
                <c:pt idx="74">
                  <c:v>45182</c:v>
                </c:pt>
                <c:pt idx="75">
                  <c:v>45181</c:v>
                </c:pt>
                <c:pt idx="76">
                  <c:v>45180</c:v>
                </c:pt>
                <c:pt idx="77">
                  <c:v>45177</c:v>
                </c:pt>
                <c:pt idx="78">
                  <c:v>45176</c:v>
                </c:pt>
                <c:pt idx="79">
                  <c:v>45175</c:v>
                </c:pt>
                <c:pt idx="80">
                  <c:v>45174</c:v>
                </c:pt>
                <c:pt idx="81">
                  <c:v>45170</c:v>
                </c:pt>
                <c:pt idx="82">
                  <c:v>45169</c:v>
                </c:pt>
                <c:pt idx="83">
                  <c:v>45168</c:v>
                </c:pt>
                <c:pt idx="84">
                  <c:v>45167</c:v>
                </c:pt>
                <c:pt idx="85">
                  <c:v>45166</c:v>
                </c:pt>
                <c:pt idx="86">
                  <c:v>45163</c:v>
                </c:pt>
                <c:pt idx="87">
                  <c:v>45162</c:v>
                </c:pt>
                <c:pt idx="88">
                  <c:v>45161</c:v>
                </c:pt>
                <c:pt idx="89">
                  <c:v>45160</c:v>
                </c:pt>
                <c:pt idx="90">
                  <c:v>45159</c:v>
                </c:pt>
                <c:pt idx="91">
                  <c:v>45156</c:v>
                </c:pt>
                <c:pt idx="92">
                  <c:v>45155</c:v>
                </c:pt>
                <c:pt idx="93">
                  <c:v>45154</c:v>
                </c:pt>
                <c:pt idx="94">
                  <c:v>45153</c:v>
                </c:pt>
                <c:pt idx="95">
                  <c:v>45152</c:v>
                </c:pt>
                <c:pt idx="96">
                  <c:v>45149</c:v>
                </c:pt>
                <c:pt idx="97">
                  <c:v>45148</c:v>
                </c:pt>
                <c:pt idx="98">
                  <c:v>45147</c:v>
                </c:pt>
                <c:pt idx="99">
                  <c:v>45146</c:v>
                </c:pt>
                <c:pt idx="100">
                  <c:v>45145</c:v>
                </c:pt>
                <c:pt idx="101">
                  <c:v>45142</c:v>
                </c:pt>
                <c:pt idx="102">
                  <c:v>45141</c:v>
                </c:pt>
                <c:pt idx="103">
                  <c:v>45140</c:v>
                </c:pt>
                <c:pt idx="104">
                  <c:v>45139</c:v>
                </c:pt>
                <c:pt idx="105">
                  <c:v>45138</c:v>
                </c:pt>
                <c:pt idx="106">
                  <c:v>45135</c:v>
                </c:pt>
                <c:pt idx="107">
                  <c:v>45134</c:v>
                </c:pt>
                <c:pt idx="108">
                  <c:v>45133</c:v>
                </c:pt>
                <c:pt idx="109">
                  <c:v>45132</c:v>
                </c:pt>
                <c:pt idx="110">
                  <c:v>45131</c:v>
                </c:pt>
                <c:pt idx="111">
                  <c:v>45128</c:v>
                </c:pt>
                <c:pt idx="112">
                  <c:v>45127</c:v>
                </c:pt>
                <c:pt idx="113">
                  <c:v>45126</c:v>
                </c:pt>
                <c:pt idx="114">
                  <c:v>45125</c:v>
                </c:pt>
                <c:pt idx="115">
                  <c:v>45124</c:v>
                </c:pt>
                <c:pt idx="116">
                  <c:v>45121</c:v>
                </c:pt>
                <c:pt idx="117">
                  <c:v>45120</c:v>
                </c:pt>
                <c:pt idx="118">
                  <c:v>45119</c:v>
                </c:pt>
                <c:pt idx="119">
                  <c:v>45118</c:v>
                </c:pt>
                <c:pt idx="120">
                  <c:v>45117</c:v>
                </c:pt>
                <c:pt idx="121">
                  <c:v>45114</c:v>
                </c:pt>
                <c:pt idx="122">
                  <c:v>45113</c:v>
                </c:pt>
                <c:pt idx="123">
                  <c:v>45112</c:v>
                </c:pt>
                <c:pt idx="124">
                  <c:v>45110</c:v>
                </c:pt>
                <c:pt idx="125">
                  <c:v>45107</c:v>
                </c:pt>
                <c:pt idx="126">
                  <c:v>45106</c:v>
                </c:pt>
                <c:pt idx="127">
                  <c:v>45105</c:v>
                </c:pt>
                <c:pt idx="128">
                  <c:v>45104</c:v>
                </c:pt>
                <c:pt idx="129">
                  <c:v>45103</c:v>
                </c:pt>
                <c:pt idx="130">
                  <c:v>45100</c:v>
                </c:pt>
                <c:pt idx="131">
                  <c:v>45099</c:v>
                </c:pt>
                <c:pt idx="132">
                  <c:v>45098</c:v>
                </c:pt>
                <c:pt idx="133">
                  <c:v>45097</c:v>
                </c:pt>
                <c:pt idx="134">
                  <c:v>45093</c:v>
                </c:pt>
                <c:pt idx="135">
                  <c:v>45092</c:v>
                </c:pt>
                <c:pt idx="136">
                  <c:v>45091</c:v>
                </c:pt>
                <c:pt idx="137">
                  <c:v>45090</c:v>
                </c:pt>
                <c:pt idx="138">
                  <c:v>45089</c:v>
                </c:pt>
                <c:pt idx="139">
                  <c:v>45086</c:v>
                </c:pt>
                <c:pt idx="140">
                  <c:v>45085</c:v>
                </c:pt>
                <c:pt idx="141">
                  <c:v>45084</c:v>
                </c:pt>
                <c:pt idx="142">
                  <c:v>45083</c:v>
                </c:pt>
                <c:pt idx="143">
                  <c:v>45082</c:v>
                </c:pt>
                <c:pt idx="144">
                  <c:v>45079</c:v>
                </c:pt>
                <c:pt idx="145">
                  <c:v>45078</c:v>
                </c:pt>
                <c:pt idx="146">
                  <c:v>45077</c:v>
                </c:pt>
                <c:pt idx="147">
                  <c:v>45076</c:v>
                </c:pt>
                <c:pt idx="148">
                  <c:v>45072</c:v>
                </c:pt>
                <c:pt idx="149">
                  <c:v>45071</c:v>
                </c:pt>
                <c:pt idx="150">
                  <c:v>45070</c:v>
                </c:pt>
                <c:pt idx="151">
                  <c:v>45069</c:v>
                </c:pt>
                <c:pt idx="152">
                  <c:v>45068</c:v>
                </c:pt>
                <c:pt idx="153">
                  <c:v>45065</c:v>
                </c:pt>
                <c:pt idx="154">
                  <c:v>45064</c:v>
                </c:pt>
                <c:pt idx="155">
                  <c:v>45063</c:v>
                </c:pt>
                <c:pt idx="156">
                  <c:v>45062</c:v>
                </c:pt>
                <c:pt idx="157">
                  <c:v>45061</c:v>
                </c:pt>
                <c:pt idx="158">
                  <c:v>45058</c:v>
                </c:pt>
                <c:pt idx="159">
                  <c:v>45057</c:v>
                </c:pt>
                <c:pt idx="160">
                  <c:v>45056</c:v>
                </c:pt>
                <c:pt idx="161">
                  <c:v>45055</c:v>
                </c:pt>
                <c:pt idx="162">
                  <c:v>45054</c:v>
                </c:pt>
                <c:pt idx="163">
                  <c:v>45051</c:v>
                </c:pt>
                <c:pt idx="164">
                  <c:v>45050</c:v>
                </c:pt>
                <c:pt idx="165">
                  <c:v>45049</c:v>
                </c:pt>
                <c:pt idx="166">
                  <c:v>45048</c:v>
                </c:pt>
                <c:pt idx="167">
                  <c:v>45047</c:v>
                </c:pt>
                <c:pt idx="168">
                  <c:v>45044</c:v>
                </c:pt>
                <c:pt idx="169">
                  <c:v>45043</c:v>
                </c:pt>
                <c:pt idx="170">
                  <c:v>45042</c:v>
                </c:pt>
                <c:pt idx="171">
                  <c:v>45041</c:v>
                </c:pt>
                <c:pt idx="172">
                  <c:v>45040</c:v>
                </c:pt>
                <c:pt idx="173">
                  <c:v>45037</c:v>
                </c:pt>
                <c:pt idx="174">
                  <c:v>45036</c:v>
                </c:pt>
                <c:pt idx="175">
                  <c:v>45035</c:v>
                </c:pt>
                <c:pt idx="176">
                  <c:v>45034</c:v>
                </c:pt>
                <c:pt idx="177">
                  <c:v>45033</c:v>
                </c:pt>
                <c:pt idx="178">
                  <c:v>45030</c:v>
                </c:pt>
                <c:pt idx="179">
                  <c:v>45029</c:v>
                </c:pt>
                <c:pt idx="180">
                  <c:v>45028</c:v>
                </c:pt>
                <c:pt idx="181">
                  <c:v>45027</c:v>
                </c:pt>
                <c:pt idx="182">
                  <c:v>45026</c:v>
                </c:pt>
                <c:pt idx="183">
                  <c:v>45023</c:v>
                </c:pt>
                <c:pt idx="184">
                  <c:v>45022</c:v>
                </c:pt>
                <c:pt idx="185">
                  <c:v>45021</c:v>
                </c:pt>
                <c:pt idx="186">
                  <c:v>45020</c:v>
                </c:pt>
                <c:pt idx="187">
                  <c:v>45019</c:v>
                </c:pt>
                <c:pt idx="188">
                  <c:v>45016</c:v>
                </c:pt>
                <c:pt idx="189">
                  <c:v>45015</c:v>
                </c:pt>
                <c:pt idx="190">
                  <c:v>45014</c:v>
                </c:pt>
                <c:pt idx="191">
                  <c:v>45013</c:v>
                </c:pt>
                <c:pt idx="192">
                  <c:v>45012</c:v>
                </c:pt>
                <c:pt idx="193">
                  <c:v>45009</c:v>
                </c:pt>
                <c:pt idx="194">
                  <c:v>45008</c:v>
                </c:pt>
                <c:pt idx="195">
                  <c:v>45007</c:v>
                </c:pt>
                <c:pt idx="196">
                  <c:v>45006</c:v>
                </c:pt>
                <c:pt idx="197">
                  <c:v>45005</c:v>
                </c:pt>
                <c:pt idx="198">
                  <c:v>45002</c:v>
                </c:pt>
                <c:pt idx="199">
                  <c:v>45001</c:v>
                </c:pt>
                <c:pt idx="200">
                  <c:v>45000</c:v>
                </c:pt>
                <c:pt idx="201">
                  <c:v>44999</c:v>
                </c:pt>
                <c:pt idx="202">
                  <c:v>44998</c:v>
                </c:pt>
                <c:pt idx="203">
                  <c:v>44995</c:v>
                </c:pt>
                <c:pt idx="204">
                  <c:v>44994</c:v>
                </c:pt>
                <c:pt idx="205">
                  <c:v>44993</c:v>
                </c:pt>
                <c:pt idx="206">
                  <c:v>44992</c:v>
                </c:pt>
                <c:pt idx="207">
                  <c:v>44991</c:v>
                </c:pt>
                <c:pt idx="208">
                  <c:v>44988</c:v>
                </c:pt>
                <c:pt idx="209">
                  <c:v>44987</c:v>
                </c:pt>
                <c:pt idx="210">
                  <c:v>44986</c:v>
                </c:pt>
                <c:pt idx="211">
                  <c:v>44985</c:v>
                </c:pt>
                <c:pt idx="212">
                  <c:v>44984</c:v>
                </c:pt>
                <c:pt idx="213">
                  <c:v>44981</c:v>
                </c:pt>
                <c:pt idx="214">
                  <c:v>44980</c:v>
                </c:pt>
                <c:pt idx="215">
                  <c:v>44979</c:v>
                </c:pt>
                <c:pt idx="216">
                  <c:v>44978</c:v>
                </c:pt>
                <c:pt idx="217">
                  <c:v>44974</c:v>
                </c:pt>
                <c:pt idx="218">
                  <c:v>44973</c:v>
                </c:pt>
                <c:pt idx="219">
                  <c:v>44972</c:v>
                </c:pt>
                <c:pt idx="220">
                  <c:v>44971</c:v>
                </c:pt>
                <c:pt idx="221">
                  <c:v>44970</c:v>
                </c:pt>
                <c:pt idx="222">
                  <c:v>44967</c:v>
                </c:pt>
                <c:pt idx="223">
                  <c:v>44966</c:v>
                </c:pt>
                <c:pt idx="224">
                  <c:v>44965</c:v>
                </c:pt>
                <c:pt idx="225">
                  <c:v>44964</c:v>
                </c:pt>
                <c:pt idx="226">
                  <c:v>44963</c:v>
                </c:pt>
                <c:pt idx="227">
                  <c:v>44960</c:v>
                </c:pt>
                <c:pt idx="228">
                  <c:v>44959</c:v>
                </c:pt>
                <c:pt idx="229">
                  <c:v>44958</c:v>
                </c:pt>
                <c:pt idx="230">
                  <c:v>44957</c:v>
                </c:pt>
                <c:pt idx="231">
                  <c:v>44956</c:v>
                </c:pt>
                <c:pt idx="232">
                  <c:v>44953</c:v>
                </c:pt>
                <c:pt idx="233">
                  <c:v>44952</c:v>
                </c:pt>
                <c:pt idx="234">
                  <c:v>44951</c:v>
                </c:pt>
                <c:pt idx="235">
                  <c:v>44950</c:v>
                </c:pt>
                <c:pt idx="236">
                  <c:v>44949</c:v>
                </c:pt>
                <c:pt idx="237">
                  <c:v>44946</c:v>
                </c:pt>
                <c:pt idx="238">
                  <c:v>44945</c:v>
                </c:pt>
                <c:pt idx="239">
                  <c:v>44944</c:v>
                </c:pt>
                <c:pt idx="240">
                  <c:v>44943</c:v>
                </c:pt>
                <c:pt idx="241">
                  <c:v>44939</c:v>
                </c:pt>
                <c:pt idx="242">
                  <c:v>44938</c:v>
                </c:pt>
                <c:pt idx="243">
                  <c:v>44937</c:v>
                </c:pt>
                <c:pt idx="244">
                  <c:v>44936</c:v>
                </c:pt>
                <c:pt idx="245">
                  <c:v>44935</c:v>
                </c:pt>
                <c:pt idx="246">
                  <c:v>44932</c:v>
                </c:pt>
                <c:pt idx="247">
                  <c:v>44931</c:v>
                </c:pt>
                <c:pt idx="248">
                  <c:v>44930</c:v>
                </c:pt>
                <c:pt idx="249">
                  <c:v>44929</c:v>
                </c:pt>
              </c:numCache>
            </c:numRef>
          </c:cat>
          <c:val>
            <c:numRef>
              <c:f>'2023'!$D$2:$D$251</c:f>
              <c:numCache>
                <c:formatCode>General</c:formatCode>
                <c:ptCount val="250"/>
                <c:pt idx="0">
                  <c:v>5.4</c:v>
                </c:pt>
                <c:pt idx="1">
                  <c:v>5.45</c:v>
                </c:pt>
                <c:pt idx="2">
                  <c:v>5.44</c:v>
                </c:pt>
                <c:pt idx="3">
                  <c:v>5.45</c:v>
                </c:pt>
                <c:pt idx="4">
                  <c:v>5.44</c:v>
                </c:pt>
                <c:pt idx="5">
                  <c:v>5.42</c:v>
                </c:pt>
                <c:pt idx="6">
                  <c:v>5.44</c:v>
                </c:pt>
                <c:pt idx="7">
                  <c:v>5.43</c:v>
                </c:pt>
                <c:pt idx="8">
                  <c:v>5.46</c:v>
                </c:pt>
                <c:pt idx="9">
                  <c:v>5.44</c:v>
                </c:pt>
                <c:pt idx="10">
                  <c:v>5.43</c:v>
                </c:pt>
                <c:pt idx="11">
                  <c:v>5.44</c:v>
                </c:pt>
                <c:pt idx="12">
                  <c:v>5.46</c:v>
                </c:pt>
                <c:pt idx="13">
                  <c:v>5.47</c:v>
                </c:pt>
                <c:pt idx="14">
                  <c:v>5.44</c:v>
                </c:pt>
                <c:pt idx="15">
                  <c:v>5.44</c:v>
                </c:pt>
                <c:pt idx="16">
                  <c:v>5.45</c:v>
                </c:pt>
                <c:pt idx="17">
                  <c:v>5.45</c:v>
                </c:pt>
                <c:pt idx="18">
                  <c:v>5.46</c:v>
                </c:pt>
                <c:pt idx="19">
                  <c:v>5.43</c:v>
                </c:pt>
                <c:pt idx="20">
                  <c:v>5.45</c:v>
                </c:pt>
                <c:pt idx="21">
                  <c:v>5.45</c:v>
                </c:pt>
                <c:pt idx="22">
                  <c:v>5.47</c:v>
                </c:pt>
                <c:pt idx="23">
                  <c:v>5.49</c:v>
                </c:pt>
                <c:pt idx="24">
                  <c:v>5.54</c:v>
                </c:pt>
                <c:pt idx="25">
                  <c:v>5.54</c:v>
                </c:pt>
                <c:pt idx="26">
                  <c:v>5.53</c:v>
                </c:pt>
                <c:pt idx="27">
                  <c:v>5.54</c:v>
                </c:pt>
                <c:pt idx="28">
                  <c:v>5.5</c:v>
                </c:pt>
                <c:pt idx="29">
                  <c:v>5.51</c:v>
                </c:pt>
                <c:pt idx="30">
                  <c:v>5.53</c:v>
                </c:pt>
                <c:pt idx="31">
                  <c:v>5.52</c:v>
                </c:pt>
                <c:pt idx="32">
                  <c:v>5.55</c:v>
                </c:pt>
                <c:pt idx="33">
                  <c:v>5.53</c:v>
                </c:pt>
                <c:pt idx="34">
                  <c:v>5.54</c:v>
                </c:pt>
                <c:pt idx="35">
                  <c:v>5.54</c:v>
                </c:pt>
                <c:pt idx="36">
                  <c:v>5.55</c:v>
                </c:pt>
                <c:pt idx="37">
                  <c:v>5.56</c:v>
                </c:pt>
                <c:pt idx="38">
                  <c:v>5.53</c:v>
                </c:pt>
                <c:pt idx="39">
                  <c:v>5.54</c:v>
                </c:pt>
                <c:pt idx="40">
                  <c:v>5.57</c:v>
                </c:pt>
                <c:pt idx="41">
                  <c:v>5.59</c:v>
                </c:pt>
                <c:pt idx="42">
                  <c:v>5.6</c:v>
                </c:pt>
                <c:pt idx="43">
                  <c:v>5.59</c:v>
                </c:pt>
                <c:pt idx="44">
                  <c:v>5.59</c:v>
                </c:pt>
                <c:pt idx="45">
                  <c:v>5.59</c:v>
                </c:pt>
                <c:pt idx="46">
                  <c:v>5.58</c:v>
                </c:pt>
                <c:pt idx="47">
                  <c:v>5.58</c:v>
                </c:pt>
                <c:pt idx="48">
                  <c:v>5.58</c:v>
                </c:pt>
                <c:pt idx="49">
                  <c:v>5.6</c:v>
                </c:pt>
                <c:pt idx="50">
                  <c:v>5.61</c:v>
                </c:pt>
                <c:pt idx="51">
                  <c:v>5.62</c:v>
                </c:pt>
                <c:pt idx="52">
                  <c:v>5.61</c:v>
                </c:pt>
                <c:pt idx="53">
                  <c:v>5.62</c:v>
                </c:pt>
                <c:pt idx="54">
                  <c:v>5.63</c:v>
                </c:pt>
                <c:pt idx="55">
                  <c:v>5.61</c:v>
                </c:pt>
                <c:pt idx="56">
                  <c:v>5.61</c:v>
                </c:pt>
                <c:pt idx="57">
                  <c:v>5.63</c:v>
                </c:pt>
                <c:pt idx="58">
                  <c:v>5.61</c:v>
                </c:pt>
                <c:pt idx="59">
                  <c:v>5.61</c:v>
                </c:pt>
                <c:pt idx="60">
                  <c:v>5.62</c:v>
                </c:pt>
                <c:pt idx="61">
                  <c:v>5.62</c:v>
                </c:pt>
                <c:pt idx="62">
                  <c:v>5.55</c:v>
                </c:pt>
                <c:pt idx="63">
                  <c:v>5.56</c:v>
                </c:pt>
                <c:pt idx="64">
                  <c:v>5.58</c:v>
                </c:pt>
                <c:pt idx="65">
                  <c:v>5.58</c:v>
                </c:pt>
                <c:pt idx="66">
                  <c:v>5.58</c:v>
                </c:pt>
                <c:pt idx="67">
                  <c:v>5.56</c:v>
                </c:pt>
                <c:pt idx="68">
                  <c:v>5.57</c:v>
                </c:pt>
                <c:pt idx="69">
                  <c:v>5.56</c:v>
                </c:pt>
                <c:pt idx="70">
                  <c:v>5.54</c:v>
                </c:pt>
                <c:pt idx="71">
                  <c:v>5.55</c:v>
                </c:pt>
                <c:pt idx="72">
                  <c:v>5.56</c:v>
                </c:pt>
                <c:pt idx="73">
                  <c:v>5.55</c:v>
                </c:pt>
                <c:pt idx="74">
                  <c:v>5.55</c:v>
                </c:pt>
                <c:pt idx="75">
                  <c:v>5.56</c:v>
                </c:pt>
                <c:pt idx="76">
                  <c:v>5.55</c:v>
                </c:pt>
                <c:pt idx="77">
                  <c:v>5.55</c:v>
                </c:pt>
                <c:pt idx="78">
                  <c:v>5.53</c:v>
                </c:pt>
                <c:pt idx="79">
                  <c:v>5.55</c:v>
                </c:pt>
                <c:pt idx="80">
                  <c:v>5.55</c:v>
                </c:pt>
                <c:pt idx="81">
                  <c:v>5.53</c:v>
                </c:pt>
                <c:pt idx="82">
                  <c:v>5.56</c:v>
                </c:pt>
                <c:pt idx="83">
                  <c:v>5.56</c:v>
                </c:pt>
                <c:pt idx="84">
                  <c:v>5.56</c:v>
                </c:pt>
                <c:pt idx="85">
                  <c:v>5.58</c:v>
                </c:pt>
                <c:pt idx="86">
                  <c:v>5.61</c:v>
                </c:pt>
                <c:pt idx="87">
                  <c:v>5.58</c:v>
                </c:pt>
                <c:pt idx="88">
                  <c:v>5.57</c:v>
                </c:pt>
                <c:pt idx="89">
                  <c:v>5.57</c:v>
                </c:pt>
                <c:pt idx="90">
                  <c:v>5.57</c:v>
                </c:pt>
                <c:pt idx="91">
                  <c:v>5.55</c:v>
                </c:pt>
                <c:pt idx="92">
                  <c:v>5.56</c:v>
                </c:pt>
                <c:pt idx="93">
                  <c:v>5.56</c:v>
                </c:pt>
                <c:pt idx="94">
                  <c:v>5.56</c:v>
                </c:pt>
                <c:pt idx="95">
                  <c:v>5.56</c:v>
                </c:pt>
                <c:pt idx="96">
                  <c:v>5.54</c:v>
                </c:pt>
                <c:pt idx="97">
                  <c:v>5.54</c:v>
                </c:pt>
                <c:pt idx="98">
                  <c:v>5.55</c:v>
                </c:pt>
                <c:pt idx="99">
                  <c:v>5.57</c:v>
                </c:pt>
                <c:pt idx="100">
                  <c:v>5.56</c:v>
                </c:pt>
                <c:pt idx="101">
                  <c:v>5.54</c:v>
                </c:pt>
                <c:pt idx="102">
                  <c:v>5.54</c:v>
                </c:pt>
                <c:pt idx="103">
                  <c:v>5.53</c:v>
                </c:pt>
                <c:pt idx="104">
                  <c:v>5.54</c:v>
                </c:pt>
                <c:pt idx="105">
                  <c:v>5.55</c:v>
                </c:pt>
                <c:pt idx="106">
                  <c:v>5.52</c:v>
                </c:pt>
                <c:pt idx="107">
                  <c:v>5.51</c:v>
                </c:pt>
                <c:pt idx="108">
                  <c:v>5.51</c:v>
                </c:pt>
                <c:pt idx="109">
                  <c:v>5.51</c:v>
                </c:pt>
                <c:pt idx="110">
                  <c:v>5.51</c:v>
                </c:pt>
                <c:pt idx="111">
                  <c:v>5.5</c:v>
                </c:pt>
                <c:pt idx="112">
                  <c:v>5.49</c:v>
                </c:pt>
                <c:pt idx="113">
                  <c:v>5.49</c:v>
                </c:pt>
                <c:pt idx="114">
                  <c:v>5.49</c:v>
                </c:pt>
                <c:pt idx="115">
                  <c:v>5.49</c:v>
                </c:pt>
                <c:pt idx="116">
                  <c:v>5.49</c:v>
                </c:pt>
                <c:pt idx="117">
                  <c:v>5.47</c:v>
                </c:pt>
                <c:pt idx="118">
                  <c:v>5.47</c:v>
                </c:pt>
                <c:pt idx="119">
                  <c:v>5.49</c:v>
                </c:pt>
                <c:pt idx="120">
                  <c:v>5.48</c:v>
                </c:pt>
                <c:pt idx="121">
                  <c:v>5.46</c:v>
                </c:pt>
                <c:pt idx="122">
                  <c:v>5.46</c:v>
                </c:pt>
                <c:pt idx="123">
                  <c:v>5.44</c:v>
                </c:pt>
                <c:pt idx="124">
                  <c:v>5.44</c:v>
                </c:pt>
                <c:pt idx="125">
                  <c:v>5.43</c:v>
                </c:pt>
                <c:pt idx="126">
                  <c:v>5.46</c:v>
                </c:pt>
                <c:pt idx="127">
                  <c:v>5.44</c:v>
                </c:pt>
                <c:pt idx="128">
                  <c:v>5.44</c:v>
                </c:pt>
                <c:pt idx="129">
                  <c:v>5.5</c:v>
                </c:pt>
                <c:pt idx="130">
                  <c:v>5.41</c:v>
                </c:pt>
                <c:pt idx="131">
                  <c:v>5.4</c:v>
                </c:pt>
                <c:pt idx="132">
                  <c:v>5.4</c:v>
                </c:pt>
                <c:pt idx="133">
                  <c:v>5.39</c:v>
                </c:pt>
                <c:pt idx="134">
                  <c:v>5.34</c:v>
                </c:pt>
                <c:pt idx="135">
                  <c:v>5.33</c:v>
                </c:pt>
                <c:pt idx="136">
                  <c:v>5.36</c:v>
                </c:pt>
                <c:pt idx="137">
                  <c:v>5.36</c:v>
                </c:pt>
                <c:pt idx="138">
                  <c:v>5.4</c:v>
                </c:pt>
                <c:pt idx="139">
                  <c:v>5.37</c:v>
                </c:pt>
                <c:pt idx="140">
                  <c:v>5.38</c:v>
                </c:pt>
                <c:pt idx="141">
                  <c:v>5.42</c:v>
                </c:pt>
                <c:pt idx="142">
                  <c:v>5.44</c:v>
                </c:pt>
                <c:pt idx="143">
                  <c:v>5.46</c:v>
                </c:pt>
                <c:pt idx="144">
                  <c:v>5.5</c:v>
                </c:pt>
                <c:pt idx="145">
                  <c:v>5.5</c:v>
                </c:pt>
                <c:pt idx="146">
                  <c:v>5.52</c:v>
                </c:pt>
                <c:pt idx="147">
                  <c:v>5.55</c:v>
                </c:pt>
                <c:pt idx="148">
                  <c:v>5.34</c:v>
                </c:pt>
                <c:pt idx="149">
                  <c:v>5.38</c:v>
                </c:pt>
                <c:pt idx="150">
                  <c:v>5.37</c:v>
                </c:pt>
                <c:pt idx="151">
                  <c:v>5.34</c:v>
                </c:pt>
                <c:pt idx="152">
                  <c:v>5.4</c:v>
                </c:pt>
                <c:pt idx="153">
                  <c:v>5.29</c:v>
                </c:pt>
                <c:pt idx="154">
                  <c:v>5.31</c:v>
                </c:pt>
                <c:pt idx="155">
                  <c:v>5.26</c:v>
                </c:pt>
                <c:pt idx="156">
                  <c:v>5.23</c:v>
                </c:pt>
                <c:pt idx="157">
                  <c:v>5.21</c:v>
                </c:pt>
                <c:pt idx="158">
                  <c:v>5.25</c:v>
                </c:pt>
                <c:pt idx="159">
                  <c:v>5.2</c:v>
                </c:pt>
                <c:pt idx="160">
                  <c:v>5.24</c:v>
                </c:pt>
                <c:pt idx="161">
                  <c:v>5.29</c:v>
                </c:pt>
                <c:pt idx="162">
                  <c:v>5.31</c:v>
                </c:pt>
                <c:pt idx="163">
                  <c:v>5.26</c:v>
                </c:pt>
                <c:pt idx="164">
                  <c:v>5.26</c:v>
                </c:pt>
                <c:pt idx="165">
                  <c:v>5.26</c:v>
                </c:pt>
                <c:pt idx="166">
                  <c:v>5.24</c:v>
                </c:pt>
                <c:pt idx="167">
                  <c:v>5.27</c:v>
                </c:pt>
                <c:pt idx="168">
                  <c:v>5.0999999999999996</c:v>
                </c:pt>
                <c:pt idx="169">
                  <c:v>5.18</c:v>
                </c:pt>
                <c:pt idx="170">
                  <c:v>5.16</c:v>
                </c:pt>
                <c:pt idx="171">
                  <c:v>5.12</c:v>
                </c:pt>
                <c:pt idx="172">
                  <c:v>5.2</c:v>
                </c:pt>
                <c:pt idx="173">
                  <c:v>5.14</c:v>
                </c:pt>
                <c:pt idx="174">
                  <c:v>5.12</c:v>
                </c:pt>
                <c:pt idx="175">
                  <c:v>5.16</c:v>
                </c:pt>
                <c:pt idx="176">
                  <c:v>5.2</c:v>
                </c:pt>
                <c:pt idx="177">
                  <c:v>5.21</c:v>
                </c:pt>
                <c:pt idx="178">
                  <c:v>5.14</c:v>
                </c:pt>
                <c:pt idx="179">
                  <c:v>5.0999999999999996</c:v>
                </c:pt>
                <c:pt idx="180">
                  <c:v>5.0199999999999996</c:v>
                </c:pt>
                <c:pt idx="181">
                  <c:v>5.04</c:v>
                </c:pt>
                <c:pt idx="182">
                  <c:v>5.08</c:v>
                </c:pt>
                <c:pt idx="183">
                  <c:v>4.95</c:v>
                </c:pt>
                <c:pt idx="184">
                  <c:v>4.91</c:v>
                </c:pt>
                <c:pt idx="185">
                  <c:v>4.8600000000000003</c:v>
                </c:pt>
                <c:pt idx="186">
                  <c:v>4.88</c:v>
                </c:pt>
                <c:pt idx="187">
                  <c:v>4.9000000000000004</c:v>
                </c:pt>
                <c:pt idx="188">
                  <c:v>4.8499999999999996</c:v>
                </c:pt>
                <c:pt idx="189">
                  <c:v>4.97</c:v>
                </c:pt>
                <c:pt idx="190">
                  <c:v>4.8</c:v>
                </c:pt>
                <c:pt idx="191">
                  <c:v>4.8</c:v>
                </c:pt>
                <c:pt idx="192">
                  <c:v>4.91</c:v>
                </c:pt>
                <c:pt idx="193">
                  <c:v>4.74</c:v>
                </c:pt>
                <c:pt idx="194">
                  <c:v>4.7300000000000004</c:v>
                </c:pt>
                <c:pt idx="195">
                  <c:v>4.79</c:v>
                </c:pt>
                <c:pt idx="196">
                  <c:v>4.78</c:v>
                </c:pt>
                <c:pt idx="197">
                  <c:v>4.8099999999999996</c:v>
                </c:pt>
                <c:pt idx="198">
                  <c:v>4.5199999999999996</c:v>
                </c:pt>
                <c:pt idx="199">
                  <c:v>4.74</c:v>
                </c:pt>
                <c:pt idx="200">
                  <c:v>4.75</c:v>
                </c:pt>
                <c:pt idx="201">
                  <c:v>4.88</c:v>
                </c:pt>
                <c:pt idx="202">
                  <c:v>4.87</c:v>
                </c:pt>
                <c:pt idx="203">
                  <c:v>5.01</c:v>
                </c:pt>
                <c:pt idx="204">
                  <c:v>5.05</c:v>
                </c:pt>
                <c:pt idx="205">
                  <c:v>5.0599999999999996</c:v>
                </c:pt>
                <c:pt idx="206">
                  <c:v>5.04</c:v>
                </c:pt>
                <c:pt idx="207">
                  <c:v>4.93</c:v>
                </c:pt>
                <c:pt idx="208">
                  <c:v>4.91</c:v>
                </c:pt>
                <c:pt idx="209">
                  <c:v>4.91</c:v>
                </c:pt>
                <c:pt idx="210">
                  <c:v>4.9000000000000004</c:v>
                </c:pt>
                <c:pt idx="211">
                  <c:v>4.88</c:v>
                </c:pt>
                <c:pt idx="212">
                  <c:v>4.8899999999999997</c:v>
                </c:pt>
                <c:pt idx="213">
                  <c:v>4.8600000000000003</c:v>
                </c:pt>
                <c:pt idx="214">
                  <c:v>4.84</c:v>
                </c:pt>
                <c:pt idx="215">
                  <c:v>4.84</c:v>
                </c:pt>
                <c:pt idx="216">
                  <c:v>4.8600000000000003</c:v>
                </c:pt>
                <c:pt idx="217">
                  <c:v>4.84</c:v>
                </c:pt>
                <c:pt idx="218">
                  <c:v>4.84</c:v>
                </c:pt>
                <c:pt idx="219">
                  <c:v>4.79</c:v>
                </c:pt>
                <c:pt idx="220">
                  <c:v>4.8</c:v>
                </c:pt>
                <c:pt idx="221">
                  <c:v>4.8099999999999996</c:v>
                </c:pt>
                <c:pt idx="222">
                  <c:v>4.79</c:v>
                </c:pt>
                <c:pt idx="223">
                  <c:v>4.7699999999999996</c:v>
                </c:pt>
                <c:pt idx="224">
                  <c:v>4.72</c:v>
                </c:pt>
                <c:pt idx="225">
                  <c:v>4.71</c:v>
                </c:pt>
                <c:pt idx="226">
                  <c:v>4.71</c:v>
                </c:pt>
                <c:pt idx="227">
                  <c:v>4.7</c:v>
                </c:pt>
                <c:pt idx="228">
                  <c:v>4.66</c:v>
                </c:pt>
                <c:pt idx="229">
                  <c:v>4.66</c:v>
                </c:pt>
                <c:pt idx="230">
                  <c:v>4.7</c:v>
                </c:pt>
                <c:pt idx="231">
                  <c:v>4.72</c:v>
                </c:pt>
                <c:pt idx="232">
                  <c:v>4.7300000000000004</c:v>
                </c:pt>
                <c:pt idx="233">
                  <c:v>4.71</c:v>
                </c:pt>
                <c:pt idx="234">
                  <c:v>4.72</c:v>
                </c:pt>
                <c:pt idx="235">
                  <c:v>4.72</c:v>
                </c:pt>
                <c:pt idx="236">
                  <c:v>4.7300000000000004</c:v>
                </c:pt>
                <c:pt idx="237">
                  <c:v>4.72</c:v>
                </c:pt>
                <c:pt idx="238">
                  <c:v>4.71</c:v>
                </c:pt>
                <c:pt idx="239">
                  <c:v>4.6900000000000004</c:v>
                </c:pt>
                <c:pt idx="240">
                  <c:v>4.71</c:v>
                </c:pt>
                <c:pt idx="241">
                  <c:v>4.67</c:v>
                </c:pt>
                <c:pt idx="242">
                  <c:v>4.66</c:v>
                </c:pt>
                <c:pt idx="243">
                  <c:v>4.72</c:v>
                </c:pt>
                <c:pt idx="244">
                  <c:v>4.7300000000000004</c:v>
                </c:pt>
                <c:pt idx="245">
                  <c:v>4.7</c:v>
                </c:pt>
                <c:pt idx="246">
                  <c:v>4.67</c:v>
                </c:pt>
                <c:pt idx="247">
                  <c:v>4.66</c:v>
                </c:pt>
                <c:pt idx="248">
                  <c:v>4.55</c:v>
                </c:pt>
                <c:pt idx="249">
                  <c:v>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9-5542-A986-28FAEC10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35294528"/>
        <c:axId val="435709856"/>
      </c:lineChart>
      <c:dateAx>
        <c:axId val="4352945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09856"/>
        <c:crosses val="autoZero"/>
        <c:auto val="1"/>
        <c:lblOffset val="100"/>
        <c:baseTimeUnit val="days"/>
      </c:dateAx>
      <c:valAx>
        <c:axId val="43570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9452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chemeClr val="tx2"/>
                </a:solidFill>
              </a:rPr>
              <a:t>Vasicek</a:t>
            </a:r>
            <a:r>
              <a:rPr lang="en-US" sz="1800" b="1" baseline="0">
                <a:solidFill>
                  <a:schemeClr val="tx2"/>
                </a:solidFill>
              </a:rPr>
              <a:t> Interest Rate Model</a:t>
            </a:r>
            <a:endParaRPr lang="en-US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'Vasicek Parameter Est (MLE)'!$D$1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'Vasicek Parameter Est (MLE)'!$B$2:$B$252</c:f>
              <c:numCache>
                <c:formatCode>m/d/yy</c:formatCode>
                <c:ptCount val="251"/>
                <c:pt idx="0">
                  <c:v>45446</c:v>
                </c:pt>
                <c:pt idx="1">
                  <c:v>45443</c:v>
                </c:pt>
                <c:pt idx="2">
                  <c:v>45442</c:v>
                </c:pt>
                <c:pt idx="3">
                  <c:v>45441</c:v>
                </c:pt>
                <c:pt idx="4">
                  <c:v>45440</c:v>
                </c:pt>
                <c:pt idx="5">
                  <c:v>45436</c:v>
                </c:pt>
                <c:pt idx="6">
                  <c:v>45435</c:v>
                </c:pt>
                <c:pt idx="7">
                  <c:v>45434</c:v>
                </c:pt>
                <c:pt idx="8">
                  <c:v>45433</c:v>
                </c:pt>
                <c:pt idx="9">
                  <c:v>45432</c:v>
                </c:pt>
                <c:pt idx="10">
                  <c:v>45429</c:v>
                </c:pt>
                <c:pt idx="11">
                  <c:v>45428</c:v>
                </c:pt>
                <c:pt idx="12">
                  <c:v>45427</c:v>
                </c:pt>
                <c:pt idx="13">
                  <c:v>45426</c:v>
                </c:pt>
                <c:pt idx="14">
                  <c:v>45425</c:v>
                </c:pt>
                <c:pt idx="15">
                  <c:v>45422</c:v>
                </c:pt>
                <c:pt idx="16">
                  <c:v>45421</c:v>
                </c:pt>
                <c:pt idx="17">
                  <c:v>45420</c:v>
                </c:pt>
                <c:pt idx="18">
                  <c:v>45419</c:v>
                </c:pt>
                <c:pt idx="19">
                  <c:v>45418</c:v>
                </c:pt>
                <c:pt idx="20">
                  <c:v>45415</c:v>
                </c:pt>
                <c:pt idx="21">
                  <c:v>45414</c:v>
                </c:pt>
                <c:pt idx="22">
                  <c:v>45413</c:v>
                </c:pt>
                <c:pt idx="23">
                  <c:v>45412</c:v>
                </c:pt>
                <c:pt idx="24">
                  <c:v>45411</c:v>
                </c:pt>
                <c:pt idx="25">
                  <c:v>45408</c:v>
                </c:pt>
                <c:pt idx="26">
                  <c:v>45407</c:v>
                </c:pt>
                <c:pt idx="27">
                  <c:v>45406</c:v>
                </c:pt>
                <c:pt idx="28">
                  <c:v>45405</c:v>
                </c:pt>
                <c:pt idx="29">
                  <c:v>45404</c:v>
                </c:pt>
                <c:pt idx="30">
                  <c:v>45401</c:v>
                </c:pt>
                <c:pt idx="31">
                  <c:v>45400</c:v>
                </c:pt>
                <c:pt idx="32">
                  <c:v>45399</c:v>
                </c:pt>
                <c:pt idx="33">
                  <c:v>45398</c:v>
                </c:pt>
                <c:pt idx="34">
                  <c:v>45397</c:v>
                </c:pt>
                <c:pt idx="35">
                  <c:v>45394</c:v>
                </c:pt>
                <c:pt idx="36">
                  <c:v>45393</c:v>
                </c:pt>
                <c:pt idx="37">
                  <c:v>45392</c:v>
                </c:pt>
                <c:pt idx="38">
                  <c:v>45391</c:v>
                </c:pt>
                <c:pt idx="39">
                  <c:v>45390</c:v>
                </c:pt>
                <c:pt idx="40">
                  <c:v>45387</c:v>
                </c:pt>
                <c:pt idx="41">
                  <c:v>45386</c:v>
                </c:pt>
                <c:pt idx="42">
                  <c:v>45385</c:v>
                </c:pt>
                <c:pt idx="43">
                  <c:v>45384</c:v>
                </c:pt>
                <c:pt idx="44">
                  <c:v>45383</c:v>
                </c:pt>
                <c:pt idx="45">
                  <c:v>45379</c:v>
                </c:pt>
                <c:pt idx="46">
                  <c:v>45378</c:v>
                </c:pt>
                <c:pt idx="47">
                  <c:v>45377</c:v>
                </c:pt>
                <c:pt idx="48">
                  <c:v>45376</c:v>
                </c:pt>
                <c:pt idx="49">
                  <c:v>45373</c:v>
                </c:pt>
                <c:pt idx="50">
                  <c:v>45372</c:v>
                </c:pt>
                <c:pt idx="51">
                  <c:v>45371</c:v>
                </c:pt>
                <c:pt idx="52">
                  <c:v>45370</c:v>
                </c:pt>
                <c:pt idx="53">
                  <c:v>45369</c:v>
                </c:pt>
                <c:pt idx="54">
                  <c:v>45366</c:v>
                </c:pt>
                <c:pt idx="55">
                  <c:v>45365</c:v>
                </c:pt>
                <c:pt idx="56">
                  <c:v>45364</c:v>
                </c:pt>
                <c:pt idx="57">
                  <c:v>45363</c:v>
                </c:pt>
                <c:pt idx="58">
                  <c:v>45362</c:v>
                </c:pt>
                <c:pt idx="59">
                  <c:v>45359</c:v>
                </c:pt>
                <c:pt idx="60">
                  <c:v>45358</c:v>
                </c:pt>
                <c:pt idx="61">
                  <c:v>45357</c:v>
                </c:pt>
                <c:pt idx="62">
                  <c:v>45356</c:v>
                </c:pt>
                <c:pt idx="63">
                  <c:v>45355</c:v>
                </c:pt>
                <c:pt idx="64">
                  <c:v>45352</c:v>
                </c:pt>
                <c:pt idx="65">
                  <c:v>45351</c:v>
                </c:pt>
                <c:pt idx="66">
                  <c:v>45350</c:v>
                </c:pt>
                <c:pt idx="67">
                  <c:v>45349</c:v>
                </c:pt>
                <c:pt idx="68">
                  <c:v>45348</c:v>
                </c:pt>
                <c:pt idx="69">
                  <c:v>45345</c:v>
                </c:pt>
                <c:pt idx="70">
                  <c:v>45344</c:v>
                </c:pt>
                <c:pt idx="71">
                  <c:v>45343</c:v>
                </c:pt>
                <c:pt idx="72">
                  <c:v>45342</c:v>
                </c:pt>
                <c:pt idx="73">
                  <c:v>45338</c:v>
                </c:pt>
                <c:pt idx="74">
                  <c:v>45337</c:v>
                </c:pt>
                <c:pt idx="75">
                  <c:v>45336</c:v>
                </c:pt>
                <c:pt idx="76">
                  <c:v>45335</c:v>
                </c:pt>
                <c:pt idx="77">
                  <c:v>45334</c:v>
                </c:pt>
                <c:pt idx="78">
                  <c:v>45331</c:v>
                </c:pt>
                <c:pt idx="79">
                  <c:v>45330</c:v>
                </c:pt>
                <c:pt idx="80">
                  <c:v>45329</c:v>
                </c:pt>
                <c:pt idx="81">
                  <c:v>45328</c:v>
                </c:pt>
                <c:pt idx="82">
                  <c:v>45327</c:v>
                </c:pt>
                <c:pt idx="83">
                  <c:v>45324</c:v>
                </c:pt>
                <c:pt idx="84">
                  <c:v>45323</c:v>
                </c:pt>
                <c:pt idx="85">
                  <c:v>45322</c:v>
                </c:pt>
                <c:pt idx="86">
                  <c:v>45321</c:v>
                </c:pt>
                <c:pt idx="87">
                  <c:v>45320</c:v>
                </c:pt>
                <c:pt idx="88">
                  <c:v>45317</c:v>
                </c:pt>
                <c:pt idx="89">
                  <c:v>45316</c:v>
                </c:pt>
                <c:pt idx="90">
                  <c:v>45315</c:v>
                </c:pt>
                <c:pt idx="91">
                  <c:v>45314</c:v>
                </c:pt>
                <c:pt idx="92">
                  <c:v>45313</c:v>
                </c:pt>
                <c:pt idx="93">
                  <c:v>45310</c:v>
                </c:pt>
                <c:pt idx="94">
                  <c:v>45309</c:v>
                </c:pt>
                <c:pt idx="95">
                  <c:v>45308</c:v>
                </c:pt>
                <c:pt idx="96">
                  <c:v>45307</c:v>
                </c:pt>
                <c:pt idx="97">
                  <c:v>45303</c:v>
                </c:pt>
                <c:pt idx="98">
                  <c:v>45302</c:v>
                </c:pt>
                <c:pt idx="99">
                  <c:v>45301</c:v>
                </c:pt>
                <c:pt idx="100">
                  <c:v>45300</c:v>
                </c:pt>
                <c:pt idx="101">
                  <c:v>45299</c:v>
                </c:pt>
                <c:pt idx="102">
                  <c:v>45296</c:v>
                </c:pt>
                <c:pt idx="103">
                  <c:v>45295</c:v>
                </c:pt>
                <c:pt idx="104">
                  <c:v>45294</c:v>
                </c:pt>
                <c:pt idx="105">
                  <c:v>45293</c:v>
                </c:pt>
                <c:pt idx="106">
                  <c:v>45289</c:v>
                </c:pt>
                <c:pt idx="107">
                  <c:v>45288</c:v>
                </c:pt>
                <c:pt idx="108">
                  <c:v>45287</c:v>
                </c:pt>
                <c:pt idx="109">
                  <c:v>45286</c:v>
                </c:pt>
                <c:pt idx="110">
                  <c:v>45282</c:v>
                </c:pt>
                <c:pt idx="111">
                  <c:v>45281</c:v>
                </c:pt>
                <c:pt idx="112">
                  <c:v>45280</c:v>
                </c:pt>
                <c:pt idx="113">
                  <c:v>45279</c:v>
                </c:pt>
                <c:pt idx="114">
                  <c:v>45278</c:v>
                </c:pt>
                <c:pt idx="115">
                  <c:v>45275</c:v>
                </c:pt>
                <c:pt idx="116">
                  <c:v>45274</c:v>
                </c:pt>
                <c:pt idx="117">
                  <c:v>45273</c:v>
                </c:pt>
                <c:pt idx="118">
                  <c:v>45272</c:v>
                </c:pt>
                <c:pt idx="119">
                  <c:v>45271</c:v>
                </c:pt>
                <c:pt idx="120">
                  <c:v>45268</c:v>
                </c:pt>
                <c:pt idx="121">
                  <c:v>45267</c:v>
                </c:pt>
                <c:pt idx="122">
                  <c:v>45266</c:v>
                </c:pt>
                <c:pt idx="123">
                  <c:v>45265</c:v>
                </c:pt>
                <c:pt idx="124">
                  <c:v>45264</c:v>
                </c:pt>
                <c:pt idx="125">
                  <c:v>45261</c:v>
                </c:pt>
                <c:pt idx="126">
                  <c:v>45260</c:v>
                </c:pt>
                <c:pt idx="127">
                  <c:v>45259</c:v>
                </c:pt>
                <c:pt idx="128">
                  <c:v>45258</c:v>
                </c:pt>
                <c:pt idx="129">
                  <c:v>45257</c:v>
                </c:pt>
                <c:pt idx="130">
                  <c:v>45254</c:v>
                </c:pt>
                <c:pt idx="131">
                  <c:v>45252</c:v>
                </c:pt>
                <c:pt idx="132">
                  <c:v>45251</c:v>
                </c:pt>
                <c:pt idx="133">
                  <c:v>45250</c:v>
                </c:pt>
                <c:pt idx="134">
                  <c:v>45247</c:v>
                </c:pt>
                <c:pt idx="135">
                  <c:v>45246</c:v>
                </c:pt>
                <c:pt idx="136">
                  <c:v>45245</c:v>
                </c:pt>
                <c:pt idx="137">
                  <c:v>45244</c:v>
                </c:pt>
                <c:pt idx="138">
                  <c:v>45243</c:v>
                </c:pt>
                <c:pt idx="139">
                  <c:v>45240</c:v>
                </c:pt>
                <c:pt idx="140">
                  <c:v>45239</c:v>
                </c:pt>
                <c:pt idx="141">
                  <c:v>45238</c:v>
                </c:pt>
                <c:pt idx="142">
                  <c:v>45237</c:v>
                </c:pt>
                <c:pt idx="143">
                  <c:v>45236</c:v>
                </c:pt>
                <c:pt idx="144">
                  <c:v>45233</c:v>
                </c:pt>
                <c:pt idx="145">
                  <c:v>45232</c:v>
                </c:pt>
                <c:pt idx="146">
                  <c:v>45231</c:v>
                </c:pt>
                <c:pt idx="147">
                  <c:v>45230</c:v>
                </c:pt>
                <c:pt idx="148">
                  <c:v>45229</c:v>
                </c:pt>
                <c:pt idx="149">
                  <c:v>45226</c:v>
                </c:pt>
                <c:pt idx="150">
                  <c:v>45225</c:v>
                </c:pt>
                <c:pt idx="151">
                  <c:v>45224</c:v>
                </c:pt>
                <c:pt idx="152">
                  <c:v>45223</c:v>
                </c:pt>
                <c:pt idx="153">
                  <c:v>45222</c:v>
                </c:pt>
                <c:pt idx="154">
                  <c:v>45219</c:v>
                </c:pt>
                <c:pt idx="155">
                  <c:v>45218</c:v>
                </c:pt>
                <c:pt idx="156">
                  <c:v>45217</c:v>
                </c:pt>
                <c:pt idx="157">
                  <c:v>45216</c:v>
                </c:pt>
                <c:pt idx="158">
                  <c:v>45215</c:v>
                </c:pt>
                <c:pt idx="159">
                  <c:v>45212</c:v>
                </c:pt>
                <c:pt idx="160">
                  <c:v>45211</c:v>
                </c:pt>
                <c:pt idx="161">
                  <c:v>45210</c:v>
                </c:pt>
                <c:pt idx="162">
                  <c:v>45209</c:v>
                </c:pt>
                <c:pt idx="163">
                  <c:v>45205</c:v>
                </c:pt>
                <c:pt idx="164">
                  <c:v>45204</c:v>
                </c:pt>
                <c:pt idx="165">
                  <c:v>45203</c:v>
                </c:pt>
                <c:pt idx="166">
                  <c:v>45202</c:v>
                </c:pt>
                <c:pt idx="167">
                  <c:v>45201</c:v>
                </c:pt>
                <c:pt idx="168">
                  <c:v>45198</c:v>
                </c:pt>
                <c:pt idx="169">
                  <c:v>45197</c:v>
                </c:pt>
                <c:pt idx="170">
                  <c:v>45196</c:v>
                </c:pt>
                <c:pt idx="171">
                  <c:v>45195</c:v>
                </c:pt>
                <c:pt idx="172">
                  <c:v>45194</c:v>
                </c:pt>
                <c:pt idx="173">
                  <c:v>45191</c:v>
                </c:pt>
                <c:pt idx="174">
                  <c:v>45190</c:v>
                </c:pt>
                <c:pt idx="175">
                  <c:v>45189</c:v>
                </c:pt>
                <c:pt idx="176">
                  <c:v>45188</c:v>
                </c:pt>
                <c:pt idx="177">
                  <c:v>45187</c:v>
                </c:pt>
                <c:pt idx="178">
                  <c:v>45184</c:v>
                </c:pt>
                <c:pt idx="179">
                  <c:v>45183</c:v>
                </c:pt>
                <c:pt idx="180">
                  <c:v>45182</c:v>
                </c:pt>
                <c:pt idx="181">
                  <c:v>45181</c:v>
                </c:pt>
                <c:pt idx="182">
                  <c:v>45180</c:v>
                </c:pt>
                <c:pt idx="183">
                  <c:v>45177</c:v>
                </c:pt>
                <c:pt idx="184">
                  <c:v>45176</c:v>
                </c:pt>
                <c:pt idx="185">
                  <c:v>45175</c:v>
                </c:pt>
                <c:pt idx="186">
                  <c:v>45174</c:v>
                </c:pt>
                <c:pt idx="187">
                  <c:v>45170</c:v>
                </c:pt>
                <c:pt idx="188">
                  <c:v>45169</c:v>
                </c:pt>
                <c:pt idx="189">
                  <c:v>45168</c:v>
                </c:pt>
                <c:pt idx="190">
                  <c:v>45167</c:v>
                </c:pt>
                <c:pt idx="191">
                  <c:v>45166</c:v>
                </c:pt>
                <c:pt idx="192">
                  <c:v>45163</c:v>
                </c:pt>
                <c:pt idx="193">
                  <c:v>45162</c:v>
                </c:pt>
                <c:pt idx="194">
                  <c:v>45161</c:v>
                </c:pt>
                <c:pt idx="195">
                  <c:v>45160</c:v>
                </c:pt>
                <c:pt idx="196">
                  <c:v>45159</c:v>
                </c:pt>
                <c:pt idx="197">
                  <c:v>45156</c:v>
                </c:pt>
                <c:pt idx="198">
                  <c:v>45155</c:v>
                </c:pt>
                <c:pt idx="199">
                  <c:v>45154</c:v>
                </c:pt>
                <c:pt idx="200">
                  <c:v>45153</c:v>
                </c:pt>
                <c:pt idx="201">
                  <c:v>45152</c:v>
                </c:pt>
                <c:pt idx="202">
                  <c:v>45149</c:v>
                </c:pt>
                <c:pt idx="203">
                  <c:v>45148</c:v>
                </c:pt>
                <c:pt idx="204">
                  <c:v>45147</c:v>
                </c:pt>
                <c:pt idx="205">
                  <c:v>45146</c:v>
                </c:pt>
                <c:pt idx="206">
                  <c:v>45145</c:v>
                </c:pt>
                <c:pt idx="207">
                  <c:v>45142</c:v>
                </c:pt>
                <c:pt idx="208">
                  <c:v>45141</c:v>
                </c:pt>
                <c:pt idx="209">
                  <c:v>45140</c:v>
                </c:pt>
                <c:pt idx="210">
                  <c:v>45139</c:v>
                </c:pt>
                <c:pt idx="211">
                  <c:v>45138</c:v>
                </c:pt>
                <c:pt idx="212">
                  <c:v>45135</c:v>
                </c:pt>
                <c:pt idx="213">
                  <c:v>45134</c:v>
                </c:pt>
                <c:pt idx="214">
                  <c:v>45133</c:v>
                </c:pt>
                <c:pt idx="215">
                  <c:v>45132</c:v>
                </c:pt>
                <c:pt idx="216">
                  <c:v>45131</c:v>
                </c:pt>
                <c:pt idx="217">
                  <c:v>45128</c:v>
                </c:pt>
                <c:pt idx="218">
                  <c:v>45127</c:v>
                </c:pt>
                <c:pt idx="219">
                  <c:v>45126</c:v>
                </c:pt>
                <c:pt idx="220">
                  <c:v>45125</c:v>
                </c:pt>
                <c:pt idx="221">
                  <c:v>45124</c:v>
                </c:pt>
                <c:pt idx="222">
                  <c:v>45121</c:v>
                </c:pt>
                <c:pt idx="223">
                  <c:v>45120</c:v>
                </c:pt>
                <c:pt idx="224">
                  <c:v>45119</c:v>
                </c:pt>
                <c:pt idx="225">
                  <c:v>45118</c:v>
                </c:pt>
                <c:pt idx="226">
                  <c:v>45117</c:v>
                </c:pt>
                <c:pt idx="227">
                  <c:v>45114</c:v>
                </c:pt>
                <c:pt idx="228">
                  <c:v>45113</c:v>
                </c:pt>
                <c:pt idx="229">
                  <c:v>45112</c:v>
                </c:pt>
                <c:pt idx="230">
                  <c:v>45110</c:v>
                </c:pt>
                <c:pt idx="231">
                  <c:v>45107</c:v>
                </c:pt>
                <c:pt idx="232">
                  <c:v>45106</c:v>
                </c:pt>
                <c:pt idx="233">
                  <c:v>45105</c:v>
                </c:pt>
                <c:pt idx="234">
                  <c:v>45104</c:v>
                </c:pt>
                <c:pt idx="235">
                  <c:v>45103</c:v>
                </c:pt>
                <c:pt idx="236">
                  <c:v>45100</c:v>
                </c:pt>
                <c:pt idx="237">
                  <c:v>45099</c:v>
                </c:pt>
                <c:pt idx="238">
                  <c:v>45098</c:v>
                </c:pt>
                <c:pt idx="239">
                  <c:v>45097</c:v>
                </c:pt>
                <c:pt idx="240">
                  <c:v>45093</c:v>
                </c:pt>
                <c:pt idx="241">
                  <c:v>45092</c:v>
                </c:pt>
                <c:pt idx="242">
                  <c:v>45091</c:v>
                </c:pt>
                <c:pt idx="243">
                  <c:v>45090</c:v>
                </c:pt>
                <c:pt idx="244">
                  <c:v>45089</c:v>
                </c:pt>
                <c:pt idx="245">
                  <c:v>45086</c:v>
                </c:pt>
                <c:pt idx="246">
                  <c:v>45085</c:v>
                </c:pt>
                <c:pt idx="247">
                  <c:v>45084</c:v>
                </c:pt>
                <c:pt idx="248">
                  <c:v>45083</c:v>
                </c:pt>
                <c:pt idx="249">
                  <c:v>45082</c:v>
                </c:pt>
                <c:pt idx="250">
                  <c:v>45079</c:v>
                </c:pt>
              </c:numCache>
            </c:numRef>
          </c:cat>
          <c:val>
            <c:numRef>
              <c:f>'Vasicek Parameter Est (MLE)'!$D$2:$D$252</c:f>
              <c:numCache>
                <c:formatCode>General</c:formatCode>
                <c:ptCount val="251"/>
                <c:pt idx="0">
                  <c:v>5.5199999999999999E-2</c:v>
                </c:pt>
                <c:pt idx="1">
                  <c:v>5.4600000000000003E-2</c:v>
                </c:pt>
                <c:pt idx="2">
                  <c:v>5.4600000000000003E-2</c:v>
                </c:pt>
                <c:pt idx="3">
                  <c:v>5.4600000000000003E-2</c:v>
                </c:pt>
                <c:pt idx="4">
                  <c:v>5.4600000000000003E-2</c:v>
                </c:pt>
                <c:pt idx="5">
                  <c:v>5.4600000000000003E-2</c:v>
                </c:pt>
                <c:pt idx="6">
                  <c:v>5.4600000000000003E-2</c:v>
                </c:pt>
                <c:pt idx="7">
                  <c:v>5.45E-2</c:v>
                </c:pt>
                <c:pt idx="8">
                  <c:v>5.45E-2</c:v>
                </c:pt>
                <c:pt idx="9">
                  <c:v>5.45E-2</c:v>
                </c:pt>
                <c:pt idx="10">
                  <c:v>5.4600000000000003E-2</c:v>
                </c:pt>
                <c:pt idx="11">
                  <c:v>5.45E-2</c:v>
                </c:pt>
                <c:pt idx="12">
                  <c:v>5.45E-2</c:v>
                </c:pt>
                <c:pt idx="13">
                  <c:v>5.4400000000000004E-2</c:v>
                </c:pt>
                <c:pt idx="14">
                  <c:v>5.45E-2</c:v>
                </c:pt>
                <c:pt idx="15">
                  <c:v>5.4699999999999999E-2</c:v>
                </c:pt>
                <c:pt idx="16">
                  <c:v>5.4600000000000003E-2</c:v>
                </c:pt>
                <c:pt idx="17">
                  <c:v>5.45E-2</c:v>
                </c:pt>
                <c:pt idx="18">
                  <c:v>5.45E-2</c:v>
                </c:pt>
                <c:pt idx="19">
                  <c:v>5.45E-2</c:v>
                </c:pt>
                <c:pt idx="20">
                  <c:v>5.45E-2</c:v>
                </c:pt>
                <c:pt idx="21">
                  <c:v>5.4600000000000003E-2</c:v>
                </c:pt>
                <c:pt idx="22">
                  <c:v>5.4600000000000003E-2</c:v>
                </c:pt>
                <c:pt idx="23">
                  <c:v>5.4600000000000003E-2</c:v>
                </c:pt>
                <c:pt idx="24">
                  <c:v>5.45E-2</c:v>
                </c:pt>
                <c:pt idx="25">
                  <c:v>5.4600000000000003E-2</c:v>
                </c:pt>
                <c:pt idx="26">
                  <c:v>5.4699999999999999E-2</c:v>
                </c:pt>
                <c:pt idx="27">
                  <c:v>5.4600000000000003E-2</c:v>
                </c:pt>
                <c:pt idx="28">
                  <c:v>5.45E-2</c:v>
                </c:pt>
                <c:pt idx="29">
                  <c:v>5.4199999999999998E-2</c:v>
                </c:pt>
                <c:pt idx="30">
                  <c:v>5.45E-2</c:v>
                </c:pt>
                <c:pt idx="31">
                  <c:v>5.4600000000000003E-2</c:v>
                </c:pt>
                <c:pt idx="32">
                  <c:v>5.45E-2</c:v>
                </c:pt>
                <c:pt idx="33">
                  <c:v>5.45E-2</c:v>
                </c:pt>
                <c:pt idx="34">
                  <c:v>5.45E-2</c:v>
                </c:pt>
                <c:pt idx="35">
                  <c:v>5.45E-2</c:v>
                </c:pt>
                <c:pt idx="36">
                  <c:v>5.45E-2</c:v>
                </c:pt>
                <c:pt idx="37">
                  <c:v>5.45E-2</c:v>
                </c:pt>
                <c:pt idx="38">
                  <c:v>5.4299999999999994E-2</c:v>
                </c:pt>
                <c:pt idx="39">
                  <c:v>5.4299999999999994E-2</c:v>
                </c:pt>
                <c:pt idx="40">
                  <c:v>5.4299999999999994E-2</c:v>
                </c:pt>
                <c:pt idx="41">
                  <c:v>5.4100000000000002E-2</c:v>
                </c:pt>
                <c:pt idx="42">
                  <c:v>5.4199999999999998E-2</c:v>
                </c:pt>
                <c:pt idx="43">
                  <c:v>5.4199999999999998E-2</c:v>
                </c:pt>
                <c:pt idx="44">
                  <c:v>5.4400000000000004E-2</c:v>
                </c:pt>
                <c:pt idx="45">
                  <c:v>5.4600000000000003E-2</c:v>
                </c:pt>
                <c:pt idx="46">
                  <c:v>5.45E-2</c:v>
                </c:pt>
                <c:pt idx="47">
                  <c:v>5.4600000000000003E-2</c:v>
                </c:pt>
                <c:pt idx="48">
                  <c:v>5.4600000000000003E-2</c:v>
                </c:pt>
                <c:pt idx="49">
                  <c:v>5.4600000000000003E-2</c:v>
                </c:pt>
                <c:pt idx="50">
                  <c:v>5.4800000000000001E-2</c:v>
                </c:pt>
                <c:pt idx="51">
                  <c:v>5.4699999999999999E-2</c:v>
                </c:pt>
                <c:pt idx="52">
                  <c:v>5.4800000000000001E-2</c:v>
                </c:pt>
                <c:pt idx="53">
                  <c:v>5.4800000000000001E-2</c:v>
                </c:pt>
                <c:pt idx="54">
                  <c:v>5.4800000000000001E-2</c:v>
                </c:pt>
                <c:pt idx="55">
                  <c:v>5.4800000000000001E-2</c:v>
                </c:pt>
                <c:pt idx="56">
                  <c:v>5.4800000000000001E-2</c:v>
                </c:pt>
                <c:pt idx="57">
                  <c:v>5.4800000000000001E-2</c:v>
                </c:pt>
                <c:pt idx="58">
                  <c:v>5.4800000000000001E-2</c:v>
                </c:pt>
                <c:pt idx="59">
                  <c:v>5.4600000000000003E-2</c:v>
                </c:pt>
                <c:pt idx="60">
                  <c:v>5.4699999999999999E-2</c:v>
                </c:pt>
                <c:pt idx="61">
                  <c:v>5.4699999999999999E-2</c:v>
                </c:pt>
                <c:pt idx="62">
                  <c:v>5.4699999999999999E-2</c:v>
                </c:pt>
                <c:pt idx="63">
                  <c:v>5.4800000000000001E-2</c:v>
                </c:pt>
                <c:pt idx="64">
                  <c:v>5.4199999999999998E-2</c:v>
                </c:pt>
                <c:pt idx="65">
                  <c:v>5.45E-2</c:v>
                </c:pt>
                <c:pt idx="66">
                  <c:v>5.45E-2</c:v>
                </c:pt>
                <c:pt idx="67">
                  <c:v>5.45E-2</c:v>
                </c:pt>
                <c:pt idx="68">
                  <c:v>5.4699999999999999E-2</c:v>
                </c:pt>
                <c:pt idx="69">
                  <c:v>5.4600000000000003E-2</c:v>
                </c:pt>
                <c:pt idx="70">
                  <c:v>5.45E-2</c:v>
                </c:pt>
                <c:pt idx="71">
                  <c:v>5.4400000000000004E-2</c:v>
                </c:pt>
                <c:pt idx="72">
                  <c:v>5.4400000000000004E-2</c:v>
                </c:pt>
                <c:pt idx="73">
                  <c:v>5.4400000000000004E-2</c:v>
                </c:pt>
                <c:pt idx="74">
                  <c:v>5.4299999999999994E-2</c:v>
                </c:pt>
                <c:pt idx="75">
                  <c:v>5.4299999999999994E-2</c:v>
                </c:pt>
                <c:pt idx="76">
                  <c:v>5.45E-2</c:v>
                </c:pt>
                <c:pt idx="77">
                  <c:v>5.4299999999999994E-2</c:v>
                </c:pt>
                <c:pt idx="78">
                  <c:v>5.4400000000000004E-2</c:v>
                </c:pt>
                <c:pt idx="79">
                  <c:v>5.4400000000000004E-2</c:v>
                </c:pt>
                <c:pt idx="80">
                  <c:v>5.4299999999999994E-2</c:v>
                </c:pt>
                <c:pt idx="81">
                  <c:v>5.4400000000000004E-2</c:v>
                </c:pt>
                <c:pt idx="82">
                  <c:v>5.4199999999999998E-2</c:v>
                </c:pt>
                <c:pt idx="83">
                  <c:v>5.4299999999999994E-2</c:v>
                </c:pt>
                <c:pt idx="84">
                  <c:v>5.4199999999999998E-2</c:v>
                </c:pt>
                <c:pt idx="85">
                  <c:v>5.4199999999999998E-2</c:v>
                </c:pt>
                <c:pt idx="86">
                  <c:v>5.4199999999999998E-2</c:v>
                </c:pt>
                <c:pt idx="87">
                  <c:v>5.4199999999999998E-2</c:v>
                </c:pt>
                <c:pt idx="88">
                  <c:v>5.4400000000000004E-2</c:v>
                </c:pt>
                <c:pt idx="89">
                  <c:v>5.4400000000000004E-2</c:v>
                </c:pt>
                <c:pt idx="90">
                  <c:v>5.4400000000000004E-2</c:v>
                </c:pt>
                <c:pt idx="91">
                  <c:v>5.45E-2</c:v>
                </c:pt>
                <c:pt idx="92">
                  <c:v>5.4600000000000003E-2</c:v>
                </c:pt>
                <c:pt idx="93">
                  <c:v>5.45E-2</c:v>
                </c:pt>
                <c:pt idx="94">
                  <c:v>5.45E-2</c:v>
                </c:pt>
                <c:pt idx="95">
                  <c:v>5.4699999999999999E-2</c:v>
                </c:pt>
                <c:pt idx="96">
                  <c:v>5.45E-2</c:v>
                </c:pt>
                <c:pt idx="97">
                  <c:v>5.45E-2</c:v>
                </c:pt>
                <c:pt idx="98">
                  <c:v>5.4600000000000003E-2</c:v>
                </c:pt>
                <c:pt idx="99">
                  <c:v>5.4600000000000003E-2</c:v>
                </c:pt>
                <c:pt idx="100">
                  <c:v>5.4699999999999999E-2</c:v>
                </c:pt>
                <c:pt idx="101">
                  <c:v>5.4900000000000004E-2</c:v>
                </c:pt>
                <c:pt idx="102">
                  <c:v>5.4699999999999999E-2</c:v>
                </c:pt>
                <c:pt idx="103">
                  <c:v>5.4800000000000001E-2</c:v>
                </c:pt>
                <c:pt idx="104">
                  <c:v>5.4800000000000001E-2</c:v>
                </c:pt>
                <c:pt idx="105">
                  <c:v>5.4600000000000003E-2</c:v>
                </c:pt>
                <c:pt idx="106">
                  <c:v>5.4000000000000006E-2</c:v>
                </c:pt>
                <c:pt idx="107">
                  <c:v>5.45E-2</c:v>
                </c:pt>
                <c:pt idx="108">
                  <c:v>5.4400000000000004E-2</c:v>
                </c:pt>
                <c:pt idx="109">
                  <c:v>5.45E-2</c:v>
                </c:pt>
                <c:pt idx="110">
                  <c:v>5.4400000000000004E-2</c:v>
                </c:pt>
                <c:pt idx="111">
                  <c:v>5.4199999999999998E-2</c:v>
                </c:pt>
                <c:pt idx="112">
                  <c:v>5.4400000000000004E-2</c:v>
                </c:pt>
                <c:pt idx="113">
                  <c:v>5.4299999999999994E-2</c:v>
                </c:pt>
                <c:pt idx="114">
                  <c:v>5.4600000000000003E-2</c:v>
                </c:pt>
                <c:pt idx="115">
                  <c:v>5.4400000000000004E-2</c:v>
                </c:pt>
                <c:pt idx="116">
                  <c:v>5.4299999999999994E-2</c:v>
                </c:pt>
                <c:pt idx="117">
                  <c:v>5.4400000000000004E-2</c:v>
                </c:pt>
                <c:pt idx="118">
                  <c:v>5.4600000000000003E-2</c:v>
                </c:pt>
                <c:pt idx="119">
                  <c:v>5.4699999999999999E-2</c:v>
                </c:pt>
                <c:pt idx="120">
                  <c:v>5.4400000000000004E-2</c:v>
                </c:pt>
                <c:pt idx="121">
                  <c:v>5.4400000000000004E-2</c:v>
                </c:pt>
                <c:pt idx="122">
                  <c:v>5.45E-2</c:v>
                </c:pt>
                <c:pt idx="123">
                  <c:v>5.45E-2</c:v>
                </c:pt>
                <c:pt idx="124">
                  <c:v>5.4600000000000003E-2</c:v>
                </c:pt>
                <c:pt idx="125">
                  <c:v>5.4299999999999994E-2</c:v>
                </c:pt>
                <c:pt idx="126">
                  <c:v>5.45E-2</c:v>
                </c:pt>
                <c:pt idx="127">
                  <c:v>5.45E-2</c:v>
                </c:pt>
                <c:pt idx="128">
                  <c:v>5.4699999999999999E-2</c:v>
                </c:pt>
                <c:pt idx="129">
                  <c:v>5.4900000000000004E-2</c:v>
                </c:pt>
                <c:pt idx="130">
                  <c:v>5.5399999999999998E-2</c:v>
                </c:pt>
                <c:pt idx="131">
                  <c:v>5.5399999999999998E-2</c:v>
                </c:pt>
                <c:pt idx="132">
                  <c:v>5.5300000000000002E-2</c:v>
                </c:pt>
                <c:pt idx="133">
                  <c:v>5.5399999999999998E-2</c:v>
                </c:pt>
                <c:pt idx="134">
                  <c:v>5.5E-2</c:v>
                </c:pt>
                <c:pt idx="135">
                  <c:v>5.5099999999999996E-2</c:v>
                </c:pt>
                <c:pt idx="136">
                  <c:v>5.5300000000000002E-2</c:v>
                </c:pt>
                <c:pt idx="137">
                  <c:v>5.5199999999999999E-2</c:v>
                </c:pt>
                <c:pt idx="138">
                  <c:v>5.5500000000000001E-2</c:v>
                </c:pt>
                <c:pt idx="139">
                  <c:v>5.5300000000000002E-2</c:v>
                </c:pt>
                <c:pt idx="140">
                  <c:v>5.5399999999999998E-2</c:v>
                </c:pt>
                <c:pt idx="141">
                  <c:v>5.5399999999999998E-2</c:v>
                </c:pt>
                <c:pt idx="142">
                  <c:v>5.5500000000000001E-2</c:v>
                </c:pt>
                <c:pt idx="143">
                  <c:v>5.5599999999999997E-2</c:v>
                </c:pt>
                <c:pt idx="144">
                  <c:v>5.5300000000000002E-2</c:v>
                </c:pt>
                <c:pt idx="145">
                  <c:v>5.5399999999999998E-2</c:v>
                </c:pt>
                <c:pt idx="146">
                  <c:v>5.57E-2</c:v>
                </c:pt>
                <c:pt idx="147">
                  <c:v>5.5899999999999998E-2</c:v>
                </c:pt>
                <c:pt idx="148">
                  <c:v>5.5999999999999994E-2</c:v>
                </c:pt>
                <c:pt idx="149">
                  <c:v>5.5899999999999998E-2</c:v>
                </c:pt>
                <c:pt idx="150">
                  <c:v>5.5899999999999998E-2</c:v>
                </c:pt>
                <c:pt idx="151">
                  <c:v>5.5899999999999998E-2</c:v>
                </c:pt>
                <c:pt idx="152">
                  <c:v>5.5800000000000002E-2</c:v>
                </c:pt>
                <c:pt idx="153">
                  <c:v>5.5800000000000002E-2</c:v>
                </c:pt>
                <c:pt idx="154">
                  <c:v>5.5800000000000002E-2</c:v>
                </c:pt>
                <c:pt idx="155">
                  <c:v>5.5999999999999994E-2</c:v>
                </c:pt>
                <c:pt idx="156">
                  <c:v>5.6100000000000004E-2</c:v>
                </c:pt>
                <c:pt idx="157">
                  <c:v>5.62E-2</c:v>
                </c:pt>
                <c:pt idx="158">
                  <c:v>5.6100000000000004E-2</c:v>
                </c:pt>
                <c:pt idx="159">
                  <c:v>5.62E-2</c:v>
                </c:pt>
                <c:pt idx="160">
                  <c:v>5.6299999999999996E-2</c:v>
                </c:pt>
                <c:pt idx="161">
                  <c:v>5.6100000000000004E-2</c:v>
                </c:pt>
                <c:pt idx="162">
                  <c:v>5.6100000000000004E-2</c:v>
                </c:pt>
                <c:pt idx="163">
                  <c:v>5.6299999999999996E-2</c:v>
                </c:pt>
                <c:pt idx="164">
                  <c:v>5.6100000000000004E-2</c:v>
                </c:pt>
                <c:pt idx="165">
                  <c:v>5.6100000000000004E-2</c:v>
                </c:pt>
                <c:pt idx="166">
                  <c:v>5.62E-2</c:v>
                </c:pt>
                <c:pt idx="167">
                  <c:v>5.62E-2</c:v>
                </c:pt>
                <c:pt idx="168">
                  <c:v>5.5500000000000001E-2</c:v>
                </c:pt>
                <c:pt idx="169">
                  <c:v>5.5599999999999997E-2</c:v>
                </c:pt>
                <c:pt idx="170">
                  <c:v>5.5800000000000002E-2</c:v>
                </c:pt>
                <c:pt idx="171">
                  <c:v>5.5800000000000002E-2</c:v>
                </c:pt>
                <c:pt idx="172">
                  <c:v>5.5800000000000002E-2</c:v>
                </c:pt>
                <c:pt idx="173">
                  <c:v>5.5599999999999997E-2</c:v>
                </c:pt>
                <c:pt idx="174">
                  <c:v>5.57E-2</c:v>
                </c:pt>
                <c:pt idx="175">
                  <c:v>5.5599999999999997E-2</c:v>
                </c:pt>
                <c:pt idx="176">
                  <c:v>5.5399999999999998E-2</c:v>
                </c:pt>
                <c:pt idx="177">
                  <c:v>5.5500000000000001E-2</c:v>
                </c:pt>
                <c:pt idx="178">
                  <c:v>5.5599999999999997E-2</c:v>
                </c:pt>
                <c:pt idx="179">
                  <c:v>5.5500000000000001E-2</c:v>
                </c:pt>
                <c:pt idx="180">
                  <c:v>5.5500000000000001E-2</c:v>
                </c:pt>
                <c:pt idx="181">
                  <c:v>5.5599999999999997E-2</c:v>
                </c:pt>
                <c:pt idx="182">
                  <c:v>5.5500000000000001E-2</c:v>
                </c:pt>
                <c:pt idx="183">
                  <c:v>5.5500000000000001E-2</c:v>
                </c:pt>
                <c:pt idx="184">
                  <c:v>5.5300000000000002E-2</c:v>
                </c:pt>
                <c:pt idx="185">
                  <c:v>5.5500000000000001E-2</c:v>
                </c:pt>
                <c:pt idx="186">
                  <c:v>5.5500000000000001E-2</c:v>
                </c:pt>
                <c:pt idx="187">
                  <c:v>5.5300000000000002E-2</c:v>
                </c:pt>
                <c:pt idx="188">
                  <c:v>5.5599999999999997E-2</c:v>
                </c:pt>
                <c:pt idx="189">
                  <c:v>5.5599999999999997E-2</c:v>
                </c:pt>
                <c:pt idx="190">
                  <c:v>5.5599999999999997E-2</c:v>
                </c:pt>
                <c:pt idx="191">
                  <c:v>5.5800000000000002E-2</c:v>
                </c:pt>
                <c:pt idx="192">
                  <c:v>5.6100000000000004E-2</c:v>
                </c:pt>
                <c:pt idx="193">
                  <c:v>5.5800000000000002E-2</c:v>
                </c:pt>
                <c:pt idx="194">
                  <c:v>5.57E-2</c:v>
                </c:pt>
                <c:pt idx="195">
                  <c:v>5.57E-2</c:v>
                </c:pt>
                <c:pt idx="196">
                  <c:v>5.57E-2</c:v>
                </c:pt>
                <c:pt idx="197">
                  <c:v>5.5500000000000001E-2</c:v>
                </c:pt>
                <c:pt idx="198">
                  <c:v>5.5599999999999997E-2</c:v>
                </c:pt>
                <c:pt idx="199">
                  <c:v>5.5599999999999997E-2</c:v>
                </c:pt>
                <c:pt idx="200">
                  <c:v>5.5599999999999997E-2</c:v>
                </c:pt>
                <c:pt idx="201">
                  <c:v>5.5599999999999997E-2</c:v>
                </c:pt>
                <c:pt idx="202">
                  <c:v>5.5399999999999998E-2</c:v>
                </c:pt>
                <c:pt idx="203">
                  <c:v>5.5399999999999998E-2</c:v>
                </c:pt>
                <c:pt idx="204">
                  <c:v>5.5500000000000001E-2</c:v>
                </c:pt>
                <c:pt idx="205">
                  <c:v>5.57E-2</c:v>
                </c:pt>
                <c:pt idx="206">
                  <c:v>5.5599999999999997E-2</c:v>
                </c:pt>
                <c:pt idx="207">
                  <c:v>5.5399999999999998E-2</c:v>
                </c:pt>
                <c:pt idx="208">
                  <c:v>5.5399999999999998E-2</c:v>
                </c:pt>
                <c:pt idx="209">
                  <c:v>5.5300000000000002E-2</c:v>
                </c:pt>
                <c:pt idx="210">
                  <c:v>5.5399999999999998E-2</c:v>
                </c:pt>
                <c:pt idx="211">
                  <c:v>5.5500000000000001E-2</c:v>
                </c:pt>
                <c:pt idx="212">
                  <c:v>5.5199999999999999E-2</c:v>
                </c:pt>
                <c:pt idx="213">
                  <c:v>5.5099999999999996E-2</c:v>
                </c:pt>
                <c:pt idx="214">
                  <c:v>5.5099999999999996E-2</c:v>
                </c:pt>
                <c:pt idx="215">
                  <c:v>5.5099999999999996E-2</c:v>
                </c:pt>
                <c:pt idx="216">
                  <c:v>5.5099999999999996E-2</c:v>
                </c:pt>
                <c:pt idx="217">
                  <c:v>5.5E-2</c:v>
                </c:pt>
                <c:pt idx="218">
                  <c:v>5.4900000000000004E-2</c:v>
                </c:pt>
                <c:pt idx="219">
                  <c:v>5.4900000000000004E-2</c:v>
                </c:pt>
                <c:pt idx="220">
                  <c:v>5.4900000000000004E-2</c:v>
                </c:pt>
                <c:pt idx="221">
                  <c:v>5.4900000000000004E-2</c:v>
                </c:pt>
                <c:pt idx="222">
                  <c:v>5.4900000000000004E-2</c:v>
                </c:pt>
                <c:pt idx="223">
                  <c:v>5.4699999999999999E-2</c:v>
                </c:pt>
                <c:pt idx="224">
                  <c:v>5.4699999999999999E-2</c:v>
                </c:pt>
                <c:pt idx="225">
                  <c:v>5.4900000000000004E-2</c:v>
                </c:pt>
                <c:pt idx="226">
                  <c:v>5.4800000000000001E-2</c:v>
                </c:pt>
                <c:pt idx="227">
                  <c:v>5.4600000000000003E-2</c:v>
                </c:pt>
                <c:pt idx="228">
                  <c:v>5.4600000000000003E-2</c:v>
                </c:pt>
                <c:pt idx="229">
                  <c:v>5.4400000000000004E-2</c:v>
                </c:pt>
                <c:pt idx="230">
                  <c:v>5.4400000000000004E-2</c:v>
                </c:pt>
                <c:pt idx="231">
                  <c:v>5.4299999999999994E-2</c:v>
                </c:pt>
                <c:pt idx="232">
                  <c:v>5.4600000000000003E-2</c:v>
                </c:pt>
                <c:pt idx="233">
                  <c:v>5.4400000000000004E-2</c:v>
                </c:pt>
                <c:pt idx="234">
                  <c:v>5.4400000000000004E-2</c:v>
                </c:pt>
                <c:pt idx="235">
                  <c:v>5.5E-2</c:v>
                </c:pt>
                <c:pt idx="236">
                  <c:v>5.4100000000000002E-2</c:v>
                </c:pt>
                <c:pt idx="237">
                  <c:v>5.4000000000000006E-2</c:v>
                </c:pt>
                <c:pt idx="238">
                  <c:v>5.4000000000000006E-2</c:v>
                </c:pt>
                <c:pt idx="239">
                  <c:v>5.3899999999999997E-2</c:v>
                </c:pt>
                <c:pt idx="240">
                  <c:v>5.3399999999999996E-2</c:v>
                </c:pt>
                <c:pt idx="241">
                  <c:v>5.33E-2</c:v>
                </c:pt>
                <c:pt idx="242">
                  <c:v>5.3600000000000002E-2</c:v>
                </c:pt>
                <c:pt idx="243">
                  <c:v>5.3600000000000002E-2</c:v>
                </c:pt>
                <c:pt idx="244">
                  <c:v>5.4000000000000006E-2</c:v>
                </c:pt>
                <c:pt idx="245">
                  <c:v>5.3699999999999998E-2</c:v>
                </c:pt>
                <c:pt idx="246">
                  <c:v>5.3800000000000001E-2</c:v>
                </c:pt>
                <c:pt idx="247">
                  <c:v>5.4199999999999998E-2</c:v>
                </c:pt>
                <c:pt idx="248">
                  <c:v>5.4400000000000004E-2</c:v>
                </c:pt>
                <c:pt idx="249">
                  <c:v>5.4600000000000003E-2</c:v>
                </c:pt>
                <c:pt idx="250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6-6244-9EC0-5B702A76D46A}"/>
            </c:ext>
          </c:extLst>
        </c:ser>
        <c:ser>
          <c:idx val="1"/>
          <c:order val="1"/>
          <c:tx>
            <c:strRef>
              <c:f>'Parameter Estimation (MLE)'!#REF!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'Vasicek Parameter Est (MLE)'!$B$2:$B$252</c:f>
              <c:numCache>
                <c:formatCode>m/d/yy</c:formatCode>
                <c:ptCount val="251"/>
                <c:pt idx="0">
                  <c:v>45446</c:v>
                </c:pt>
                <c:pt idx="1">
                  <c:v>45443</c:v>
                </c:pt>
                <c:pt idx="2">
                  <c:v>45442</c:v>
                </c:pt>
                <c:pt idx="3">
                  <c:v>45441</c:v>
                </c:pt>
                <c:pt idx="4">
                  <c:v>45440</c:v>
                </c:pt>
                <c:pt idx="5">
                  <c:v>45436</c:v>
                </c:pt>
                <c:pt idx="6">
                  <c:v>45435</c:v>
                </c:pt>
                <c:pt idx="7">
                  <c:v>45434</c:v>
                </c:pt>
                <c:pt idx="8">
                  <c:v>45433</c:v>
                </c:pt>
                <c:pt idx="9">
                  <c:v>45432</c:v>
                </c:pt>
                <c:pt idx="10">
                  <c:v>45429</c:v>
                </c:pt>
                <c:pt idx="11">
                  <c:v>45428</c:v>
                </c:pt>
                <c:pt idx="12">
                  <c:v>45427</c:v>
                </c:pt>
                <c:pt idx="13">
                  <c:v>45426</c:v>
                </c:pt>
                <c:pt idx="14">
                  <c:v>45425</c:v>
                </c:pt>
                <c:pt idx="15">
                  <c:v>45422</c:v>
                </c:pt>
                <c:pt idx="16">
                  <c:v>45421</c:v>
                </c:pt>
                <c:pt idx="17">
                  <c:v>45420</c:v>
                </c:pt>
                <c:pt idx="18">
                  <c:v>45419</c:v>
                </c:pt>
                <c:pt idx="19">
                  <c:v>45418</c:v>
                </c:pt>
                <c:pt idx="20">
                  <c:v>45415</c:v>
                </c:pt>
                <c:pt idx="21">
                  <c:v>45414</c:v>
                </c:pt>
                <c:pt idx="22">
                  <c:v>45413</c:v>
                </c:pt>
                <c:pt idx="23">
                  <c:v>45412</c:v>
                </c:pt>
                <c:pt idx="24">
                  <c:v>45411</c:v>
                </c:pt>
                <c:pt idx="25">
                  <c:v>45408</c:v>
                </c:pt>
                <c:pt idx="26">
                  <c:v>45407</c:v>
                </c:pt>
                <c:pt idx="27">
                  <c:v>45406</c:v>
                </c:pt>
                <c:pt idx="28">
                  <c:v>45405</c:v>
                </c:pt>
                <c:pt idx="29">
                  <c:v>45404</c:v>
                </c:pt>
                <c:pt idx="30">
                  <c:v>45401</c:v>
                </c:pt>
                <c:pt idx="31">
                  <c:v>45400</c:v>
                </c:pt>
                <c:pt idx="32">
                  <c:v>45399</c:v>
                </c:pt>
                <c:pt idx="33">
                  <c:v>45398</c:v>
                </c:pt>
                <c:pt idx="34">
                  <c:v>45397</c:v>
                </c:pt>
                <c:pt idx="35">
                  <c:v>45394</c:v>
                </c:pt>
                <c:pt idx="36">
                  <c:v>45393</c:v>
                </c:pt>
                <c:pt idx="37">
                  <c:v>45392</c:v>
                </c:pt>
                <c:pt idx="38">
                  <c:v>45391</c:v>
                </c:pt>
                <c:pt idx="39">
                  <c:v>45390</c:v>
                </c:pt>
                <c:pt idx="40">
                  <c:v>45387</c:v>
                </c:pt>
                <c:pt idx="41">
                  <c:v>45386</c:v>
                </c:pt>
                <c:pt idx="42">
                  <c:v>45385</c:v>
                </c:pt>
                <c:pt idx="43">
                  <c:v>45384</c:v>
                </c:pt>
                <c:pt idx="44">
                  <c:v>45383</c:v>
                </c:pt>
                <c:pt idx="45">
                  <c:v>45379</c:v>
                </c:pt>
                <c:pt idx="46">
                  <c:v>45378</c:v>
                </c:pt>
                <c:pt idx="47">
                  <c:v>45377</c:v>
                </c:pt>
                <c:pt idx="48">
                  <c:v>45376</c:v>
                </c:pt>
                <c:pt idx="49">
                  <c:v>45373</c:v>
                </c:pt>
                <c:pt idx="50">
                  <c:v>45372</c:v>
                </c:pt>
                <c:pt idx="51">
                  <c:v>45371</c:v>
                </c:pt>
                <c:pt idx="52">
                  <c:v>45370</c:v>
                </c:pt>
                <c:pt idx="53">
                  <c:v>45369</c:v>
                </c:pt>
                <c:pt idx="54">
                  <c:v>45366</c:v>
                </c:pt>
                <c:pt idx="55">
                  <c:v>45365</c:v>
                </c:pt>
                <c:pt idx="56">
                  <c:v>45364</c:v>
                </c:pt>
                <c:pt idx="57">
                  <c:v>45363</c:v>
                </c:pt>
                <c:pt idx="58">
                  <c:v>45362</c:v>
                </c:pt>
                <c:pt idx="59">
                  <c:v>45359</c:v>
                </c:pt>
                <c:pt idx="60">
                  <c:v>45358</c:v>
                </c:pt>
                <c:pt idx="61">
                  <c:v>45357</c:v>
                </c:pt>
                <c:pt idx="62">
                  <c:v>45356</c:v>
                </c:pt>
                <c:pt idx="63">
                  <c:v>45355</c:v>
                </c:pt>
                <c:pt idx="64">
                  <c:v>45352</c:v>
                </c:pt>
                <c:pt idx="65">
                  <c:v>45351</c:v>
                </c:pt>
                <c:pt idx="66">
                  <c:v>45350</c:v>
                </c:pt>
                <c:pt idx="67">
                  <c:v>45349</c:v>
                </c:pt>
                <c:pt idx="68">
                  <c:v>45348</c:v>
                </c:pt>
                <c:pt idx="69">
                  <c:v>45345</c:v>
                </c:pt>
                <c:pt idx="70">
                  <c:v>45344</c:v>
                </c:pt>
                <c:pt idx="71">
                  <c:v>45343</c:v>
                </c:pt>
                <c:pt idx="72">
                  <c:v>45342</c:v>
                </c:pt>
                <c:pt idx="73">
                  <c:v>45338</c:v>
                </c:pt>
                <c:pt idx="74">
                  <c:v>45337</c:v>
                </c:pt>
                <c:pt idx="75">
                  <c:v>45336</c:v>
                </c:pt>
                <c:pt idx="76">
                  <c:v>45335</c:v>
                </c:pt>
                <c:pt idx="77">
                  <c:v>45334</c:v>
                </c:pt>
                <c:pt idx="78">
                  <c:v>45331</c:v>
                </c:pt>
                <c:pt idx="79">
                  <c:v>45330</c:v>
                </c:pt>
                <c:pt idx="80">
                  <c:v>45329</c:v>
                </c:pt>
                <c:pt idx="81">
                  <c:v>45328</c:v>
                </c:pt>
                <c:pt idx="82">
                  <c:v>45327</c:v>
                </c:pt>
                <c:pt idx="83">
                  <c:v>45324</c:v>
                </c:pt>
                <c:pt idx="84">
                  <c:v>45323</c:v>
                </c:pt>
                <c:pt idx="85">
                  <c:v>45322</c:v>
                </c:pt>
                <c:pt idx="86">
                  <c:v>45321</c:v>
                </c:pt>
                <c:pt idx="87">
                  <c:v>45320</c:v>
                </c:pt>
                <c:pt idx="88">
                  <c:v>45317</c:v>
                </c:pt>
                <c:pt idx="89">
                  <c:v>45316</c:v>
                </c:pt>
                <c:pt idx="90">
                  <c:v>45315</c:v>
                </c:pt>
                <c:pt idx="91">
                  <c:v>45314</c:v>
                </c:pt>
                <c:pt idx="92">
                  <c:v>45313</c:v>
                </c:pt>
                <c:pt idx="93">
                  <c:v>45310</c:v>
                </c:pt>
                <c:pt idx="94">
                  <c:v>45309</c:v>
                </c:pt>
                <c:pt idx="95">
                  <c:v>45308</c:v>
                </c:pt>
                <c:pt idx="96">
                  <c:v>45307</c:v>
                </c:pt>
                <c:pt idx="97">
                  <c:v>45303</c:v>
                </c:pt>
                <c:pt idx="98">
                  <c:v>45302</c:v>
                </c:pt>
                <c:pt idx="99">
                  <c:v>45301</c:v>
                </c:pt>
                <c:pt idx="100">
                  <c:v>45300</c:v>
                </c:pt>
                <c:pt idx="101">
                  <c:v>45299</c:v>
                </c:pt>
                <c:pt idx="102">
                  <c:v>45296</c:v>
                </c:pt>
                <c:pt idx="103">
                  <c:v>45295</c:v>
                </c:pt>
                <c:pt idx="104">
                  <c:v>45294</c:v>
                </c:pt>
                <c:pt idx="105">
                  <c:v>45293</c:v>
                </c:pt>
                <c:pt idx="106">
                  <c:v>45289</c:v>
                </c:pt>
                <c:pt idx="107">
                  <c:v>45288</c:v>
                </c:pt>
                <c:pt idx="108">
                  <c:v>45287</c:v>
                </c:pt>
                <c:pt idx="109">
                  <c:v>45286</c:v>
                </c:pt>
                <c:pt idx="110">
                  <c:v>45282</c:v>
                </c:pt>
                <c:pt idx="111">
                  <c:v>45281</c:v>
                </c:pt>
                <c:pt idx="112">
                  <c:v>45280</c:v>
                </c:pt>
                <c:pt idx="113">
                  <c:v>45279</c:v>
                </c:pt>
                <c:pt idx="114">
                  <c:v>45278</c:v>
                </c:pt>
                <c:pt idx="115">
                  <c:v>45275</c:v>
                </c:pt>
                <c:pt idx="116">
                  <c:v>45274</c:v>
                </c:pt>
                <c:pt idx="117">
                  <c:v>45273</c:v>
                </c:pt>
                <c:pt idx="118">
                  <c:v>45272</c:v>
                </c:pt>
                <c:pt idx="119">
                  <c:v>45271</c:v>
                </c:pt>
                <c:pt idx="120">
                  <c:v>45268</c:v>
                </c:pt>
                <c:pt idx="121">
                  <c:v>45267</c:v>
                </c:pt>
                <c:pt idx="122">
                  <c:v>45266</c:v>
                </c:pt>
                <c:pt idx="123">
                  <c:v>45265</c:v>
                </c:pt>
                <c:pt idx="124">
                  <c:v>45264</c:v>
                </c:pt>
                <c:pt idx="125">
                  <c:v>45261</c:v>
                </c:pt>
                <c:pt idx="126">
                  <c:v>45260</c:v>
                </c:pt>
                <c:pt idx="127">
                  <c:v>45259</c:v>
                </c:pt>
                <c:pt idx="128">
                  <c:v>45258</c:v>
                </c:pt>
                <c:pt idx="129">
                  <c:v>45257</c:v>
                </c:pt>
                <c:pt idx="130">
                  <c:v>45254</c:v>
                </c:pt>
                <c:pt idx="131">
                  <c:v>45252</c:v>
                </c:pt>
                <c:pt idx="132">
                  <c:v>45251</c:v>
                </c:pt>
                <c:pt idx="133">
                  <c:v>45250</c:v>
                </c:pt>
                <c:pt idx="134">
                  <c:v>45247</c:v>
                </c:pt>
                <c:pt idx="135">
                  <c:v>45246</c:v>
                </c:pt>
                <c:pt idx="136">
                  <c:v>45245</c:v>
                </c:pt>
                <c:pt idx="137">
                  <c:v>45244</c:v>
                </c:pt>
                <c:pt idx="138">
                  <c:v>45243</c:v>
                </c:pt>
                <c:pt idx="139">
                  <c:v>45240</c:v>
                </c:pt>
                <c:pt idx="140">
                  <c:v>45239</c:v>
                </c:pt>
                <c:pt idx="141">
                  <c:v>45238</c:v>
                </c:pt>
                <c:pt idx="142">
                  <c:v>45237</c:v>
                </c:pt>
                <c:pt idx="143">
                  <c:v>45236</c:v>
                </c:pt>
                <c:pt idx="144">
                  <c:v>45233</c:v>
                </c:pt>
                <c:pt idx="145">
                  <c:v>45232</c:v>
                </c:pt>
                <c:pt idx="146">
                  <c:v>45231</c:v>
                </c:pt>
                <c:pt idx="147">
                  <c:v>45230</c:v>
                </c:pt>
                <c:pt idx="148">
                  <c:v>45229</c:v>
                </c:pt>
                <c:pt idx="149">
                  <c:v>45226</c:v>
                </c:pt>
                <c:pt idx="150">
                  <c:v>45225</c:v>
                </c:pt>
                <c:pt idx="151">
                  <c:v>45224</c:v>
                </c:pt>
                <c:pt idx="152">
                  <c:v>45223</c:v>
                </c:pt>
                <c:pt idx="153">
                  <c:v>45222</c:v>
                </c:pt>
                <c:pt idx="154">
                  <c:v>45219</c:v>
                </c:pt>
                <c:pt idx="155">
                  <c:v>45218</c:v>
                </c:pt>
                <c:pt idx="156">
                  <c:v>45217</c:v>
                </c:pt>
                <c:pt idx="157">
                  <c:v>45216</c:v>
                </c:pt>
                <c:pt idx="158">
                  <c:v>45215</c:v>
                </c:pt>
                <c:pt idx="159">
                  <c:v>45212</c:v>
                </c:pt>
                <c:pt idx="160">
                  <c:v>45211</c:v>
                </c:pt>
                <c:pt idx="161">
                  <c:v>45210</c:v>
                </c:pt>
                <c:pt idx="162">
                  <c:v>45209</c:v>
                </c:pt>
                <c:pt idx="163">
                  <c:v>45205</c:v>
                </c:pt>
                <c:pt idx="164">
                  <c:v>45204</c:v>
                </c:pt>
                <c:pt idx="165">
                  <c:v>45203</c:v>
                </c:pt>
                <c:pt idx="166">
                  <c:v>45202</c:v>
                </c:pt>
                <c:pt idx="167">
                  <c:v>45201</c:v>
                </c:pt>
                <c:pt idx="168">
                  <c:v>45198</c:v>
                </c:pt>
                <c:pt idx="169">
                  <c:v>45197</c:v>
                </c:pt>
                <c:pt idx="170">
                  <c:v>45196</c:v>
                </c:pt>
                <c:pt idx="171">
                  <c:v>45195</c:v>
                </c:pt>
                <c:pt idx="172">
                  <c:v>45194</c:v>
                </c:pt>
                <c:pt idx="173">
                  <c:v>45191</c:v>
                </c:pt>
                <c:pt idx="174">
                  <c:v>45190</c:v>
                </c:pt>
                <c:pt idx="175">
                  <c:v>45189</c:v>
                </c:pt>
                <c:pt idx="176">
                  <c:v>45188</c:v>
                </c:pt>
                <c:pt idx="177">
                  <c:v>45187</c:v>
                </c:pt>
                <c:pt idx="178">
                  <c:v>45184</c:v>
                </c:pt>
                <c:pt idx="179">
                  <c:v>45183</c:v>
                </c:pt>
                <c:pt idx="180">
                  <c:v>45182</c:v>
                </c:pt>
                <c:pt idx="181">
                  <c:v>45181</c:v>
                </c:pt>
                <c:pt idx="182">
                  <c:v>45180</c:v>
                </c:pt>
                <c:pt idx="183">
                  <c:v>45177</c:v>
                </c:pt>
                <c:pt idx="184">
                  <c:v>45176</c:v>
                </c:pt>
                <c:pt idx="185">
                  <c:v>45175</c:v>
                </c:pt>
                <c:pt idx="186">
                  <c:v>45174</c:v>
                </c:pt>
                <c:pt idx="187">
                  <c:v>45170</c:v>
                </c:pt>
                <c:pt idx="188">
                  <c:v>45169</c:v>
                </c:pt>
                <c:pt idx="189">
                  <c:v>45168</c:v>
                </c:pt>
                <c:pt idx="190">
                  <c:v>45167</c:v>
                </c:pt>
                <c:pt idx="191">
                  <c:v>45166</c:v>
                </c:pt>
                <c:pt idx="192">
                  <c:v>45163</c:v>
                </c:pt>
                <c:pt idx="193">
                  <c:v>45162</c:v>
                </c:pt>
                <c:pt idx="194">
                  <c:v>45161</c:v>
                </c:pt>
                <c:pt idx="195">
                  <c:v>45160</c:v>
                </c:pt>
                <c:pt idx="196">
                  <c:v>45159</c:v>
                </c:pt>
                <c:pt idx="197">
                  <c:v>45156</c:v>
                </c:pt>
                <c:pt idx="198">
                  <c:v>45155</c:v>
                </c:pt>
                <c:pt idx="199">
                  <c:v>45154</c:v>
                </c:pt>
                <c:pt idx="200">
                  <c:v>45153</c:v>
                </c:pt>
                <c:pt idx="201">
                  <c:v>45152</c:v>
                </c:pt>
                <c:pt idx="202">
                  <c:v>45149</c:v>
                </c:pt>
                <c:pt idx="203">
                  <c:v>45148</c:v>
                </c:pt>
                <c:pt idx="204">
                  <c:v>45147</c:v>
                </c:pt>
                <c:pt idx="205">
                  <c:v>45146</c:v>
                </c:pt>
                <c:pt idx="206">
                  <c:v>45145</c:v>
                </c:pt>
                <c:pt idx="207">
                  <c:v>45142</c:v>
                </c:pt>
                <c:pt idx="208">
                  <c:v>45141</c:v>
                </c:pt>
                <c:pt idx="209">
                  <c:v>45140</c:v>
                </c:pt>
                <c:pt idx="210">
                  <c:v>45139</c:v>
                </c:pt>
                <c:pt idx="211">
                  <c:v>45138</c:v>
                </c:pt>
                <c:pt idx="212">
                  <c:v>45135</c:v>
                </c:pt>
                <c:pt idx="213">
                  <c:v>45134</c:v>
                </c:pt>
                <c:pt idx="214">
                  <c:v>45133</c:v>
                </c:pt>
                <c:pt idx="215">
                  <c:v>45132</c:v>
                </c:pt>
                <c:pt idx="216">
                  <c:v>45131</c:v>
                </c:pt>
                <c:pt idx="217">
                  <c:v>45128</c:v>
                </c:pt>
                <c:pt idx="218">
                  <c:v>45127</c:v>
                </c:pt>
                <c:pt idx="219">
                  <c:v>45126</c:v>
                </c:pt>
                <c:pt idx="220">
                  <c:v>45125</c:v>
                </c:pt>
                <c:pt idx="221">
                  <c:v>45124</c:v>
                </c:pt>
                <c:pt idx="222">
                  <c:v>45121</c:v>
                </c:pt>
                <c:pt idx="223">
                  <c:v>45120</c:v>
                </c:pt>
                <c:pt idx="224">
                  <c:v>45119</c:v>
                </c:pt>
                <c:pt idx="225">
                  <c:v>45118</c:v>
                </c:pt>
                <c:pt idx="226">
                  <c:v>45117</c:v>
                </c:pt>
                <c:pt idx="227">
                  <c:v>45114</c:v>
                </c:pt>
                <c:pt idx="228">
                  <c:v>45113</c:v>
                </c:pt>
                <c:pt idx="229">
                  <c:v>45112</c:v>
                </c:pt>
                <c:pt idx="230">
                  <c:v>45110</c:v>
                </c:pt>
                <c:pt idx="231">
                  <c:v>45107</c:v>
                </c:pt>
                <c:pt idx="232">
                  <c:v>45106</c:v>
                </c:pt>
                <c:pt idx="233">
                  <c:v>45105</c:v>
                </c:pt>
                <c:pt idx="234">
                  <c:v>45104</c:v>
                </c:pt>
                <c:pt idx="235">
                  <c:v>45103</c:v>
                </c:pt>
                <c:pt idx="236">
                  <c:v>45100</c:v>
                </c:pt>
                <c:pt idx="237">
                  <c:v>45099</c:v>
                </c:pt>
                <c:pt idx="238">
                  <c:v>45098</c:v>
                </c:pt>
                <c:pt idx="239">
                  <c:v>45097</c:v>
                </c:pt>
                <c:pt idx="240">
                  <c:v>45093</c:v>
                </c:pt>
                <c:pt idx="241">
                  <c:v>45092</c:v>
                </c:pt>
                <c:pt idx="242">
                  <c:v>45091</c:v>
                </c:pt>
                <c:pt idx="243">
                  <c:v>45090</c:v>
                </c:pt>
                <c:pt idx="244">
                  <c:v>45089</c:v>
                </c:pt>
                <c:pt idx="245">
                  <c:v>45086</c:v>
                </c:pt>
                <c:pt idx="246">
                  <c:v>45085</c:v>
                </c:pt>
                <c:pt idx="247">
                  <c:v>45084</c:v>
                </c:pt>
                <c:pt idx="248">
                  <c:v>45083</c:v>
                </c:pt>
                <c:pt idx="249">
                  <c:v>45082</c:v>
                </c:pt>
                <c:pt idx="250">
                  <c:v>45079</c:v>
                </c:pt>
              </c:numCache>
            </c:numRef>
          </c:cat>
          <c:val>
            <c:numRef>
              <c:f>'Parameter Estimation (MLE)'!#REF!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6-6244-9EC0-5B702A76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19328"/>
        <c:axId val="471677808"/>
      </c:lineChart>
      <c:dateAx>
        <c:axId val="4718193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677808"/>
        <c:crosses val="autoZero"/>
        <c:auto val="1"/>
        <c:lblOffset val="100"/>
        <c:baseTimeUnit val="days"/>
      </c:dateAx>
      <c:valAx>
        <c:axId val="4716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193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2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Vasicek Interest Rate Model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2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'Vasicek Simulation (MLE)'!$E$1</c:f>
              <c:strCache>
                <c:ptCount val="1"/>
                <c:pt idx="0">
                  <c:v>Sims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(MLE)'!$E$2:$E$254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5.5177349976562658E-2</c:v>
                </c:pt>
                <c:pt idx="2">
                  <c:v>5.5196242656863265E-2</c:v>
                </c:pt>
                <c:pt idx="3">
                  <c:v>5.5188735404279141E-2</c:v>
                </c:pt>
                <c:pt idx="4">
                  <c:v>5.5174899587776195E-2</c:v>
                </c:pt>
                <c:pt idx="5">
                  <c:v>5.5178474272664466E-2</c:v>
                </c:pt>
                <c:pt idx="6">
                  <c:v>5.5161473975696908E-2</c:v>
                </c:pt>
                <c:pt idx="7">
                  <c:v>5.5174092717791751E-2</c:v>
                </c:pt>
                <c:pt idx="8">
                  <c:v>5.5180509875690426E-2</c:v>
                </c:pt>
                <c:pt idx="9">
                  <c:v>5.5179570723088163E-2</c:v>
                </c:pt>
                <c:pt idx="10">
                  <c:v>5.5194029041006051E-2</c:v>
                </c:pt>
                <c:pt idx="11">
                  <c:v>5.5196799493059105E-2</c:v>
                </c:pt>
                <c:pt idx="12">
                  <c:v>5.5201269484021404E-2</c:v>
                </c:pt>
                <c:pt idx="13">
                  <c:v>5.5204773189259849E-2</c:v>
                </c:pt>
                <c:pt idx="14">
                  <c:v>5.5209082315309035E-2</c:v>
                </c:pt>
                <c:pt idx="15">
                  <c:v>5.5211869337642723E-2</c:v>
                </c:pt>
                <c:pt idx="16">
                  <c:v>5.5204350594199106E-2</c:v>
                </c:pt>
                <c:pt idx="17">
                  <c:v>5.5205888565782395E-2</c:v>
                </c:pt>
                <c:pt idx="18">
                  <c:v>5.5217407587420456E-2</c:v>
                </c:pt>
                <c:pt idx="19">
                  <c:v>5.5180560234672028E-2</c:v>
                </c:pt>
                <c:pt idx="20">
                  <c:v>5.5183730643883898E-2</c:v>
                </c:pt>
                <c:pt idx="21">
                  <c:v>5.5184908489499453E-2</c:v>
                </c:pt>
                <c:pt idx="22">
                  <c:v>5.5187969723596041E-2</c:v>
                </c:pt>
                <c:pt idx="23">
                  <c:v>5.5179812572890501E-2</c:v>
                </c:pt>
                <c:pt idx="24">
                  <c:v>5.5157944810346859E-2</c:v>
                </c:pt>
                <c:pt idx="25">
                  <c:v>5.5166526423233726E-2</c:v>
                </c:pt>
                <c:pt idx="26">
                  <c:v>5.5148525927020409E-2</c:v>
                </c:pt>
                <c:pt idx="27">
                  <c:v>5.5151350656600359E-2</c:v>
                </c:pt>
                <c:pt idx="28">
                  <c:v>5.5150733075423529E-2</c:v>
                </c:pt>
                <c:pt idx="29">
                  <c:v>5.5153103604221689E-2</c:v>
                </c:pt>
                <c:pt idx="30">
                  <c:v>5.5139715517456375E-2</c:v>
                </c:pt>
                <c:pt idx="31">
                  <c:v>5.5142594917691863E-2</c:v>
                </c:pt>
                <c:pt idx="32">
                  <c:v>5.5146276875635662E-2</c:v>
                </c:pt>
                <c:pt idx="33">
                  <c:v>5.5157347703807889E-2</c:v>
                </c:pt>
                <c:pt idx="34">
                  <c:v>5.516134864289092E-2</c:v>
                </c:pt>
                <c:pt idx="35">
                  <c:v>5.516810311661393E-2</c:v>
                </c:pt>
                <c:pt idx="36">
                  <c:v>5.5147583252235184E-2</c:v>
                </c:pt>
                <c:pt idx="37">
                  <c:v>5.5147413096458389E-2</c:v>
                </c:pt>
                <c:pt idx="38">
                  <c:v>5.5136834966724911E-2</c:v>
                </c:pt>
                <c:pt idx="39">
                  <c:v>5.5119091726961701E-2</c:v>
                </c:pt>
                <c:pt idx="40">
                  <c:v>5.5116982850713016E-2</c:v>
                </c:pt>
                <c:pt idx="41">
                  <c:v>5.5095390146673667E-2</c:v>
                </c:pt>
                <c:pt idx="42">
                  <c:v>5.5103711011826484E-2</c:v>
                </c:pt>
                <c:pt idx="43">
                  <c:v>5.5103664622404201E-2</c:v>
                </c:pt>
                <c:pt idx="44">
                  <c:v>5.510068166113892E-2</c:v>
                </c:pt>
                <c:pt idx="45">
                  <c:v>5.5098698605558008E-2</c:v>
                </c:pt>
                <c:pt idx="46">
                  <c:v>5.5103933427464682E-2</c:v>
                </c:pt>
                <c:pt idx="47">
                  <c:v>5.5084115722559085E-2</c:v>
                </c:pt>
                <c:pt idx="48">
                  <c:v>5.5078119749645646E-2</c:v>
                </c:pt>
                <c:pt idx="49">
                  <c:v>5.5059887981286602E-2</c:v>
                </c:pt>
                <c:pt idx="50">
                  <c:v>5.5062711918699887E-2</c:v>
                </c:pt>
                <c:pt idx="51">
                  <c:v>5.5074761789500687E-2</c:v>
                </c:pt>
                <c:pt idx="52">
                  <c:v>5.5062450977938986E-2</c:v>
                </c:pt>
                <c:pt idx="53">
                  <c:v>5.5050527709999325E-2</c:v>
                </c:pt>
                <c:pt idx="54">
                  <c:v>5.5050799324027427E-2</c:v>
                </c:pt>
                <c:pt idx="55">
                  <c:v>5.5045746333450288E-2</c:v>
                </c:pt>
                <c:pt idx="56">
                  <c:v>5.5049439095577954E-2</c:v>
                </c:pt>
                <c:pt idx="57">
                  <c:v>5.5052790065924187E-2</c:v>
                </c:pt>
                <c:pt idx="58">
                  <c:v>5.5048922683632748E-2</c:v>
                </c:pt>
                <c:pt idx="59">
                  <c:v>5.5052032726688738E-2</c:v>
                </c:pt>
                <c:pt idx="60">
                  <c:v>5.506129737919626E-2</c:v>
                </c:pt>
                <c:pt idx="61">
                  <c:v>5.5065427448322379E-2</c:v>
                </c:pt>
                <c:pt idx="62">
                  <c:v>5.5065849907912204E-2</c:v>
                </c:pt>
                <c:pt idx="63">
                  <c:v>5.5065367805167326E-2</c:v>
                </c:pt>
                <c:pt idx="64">
                  <c:v>5.5057165363993521E-2</c:v>
                </c:pt>
                <c:pt idx="65">
                  <c:v>5.5074476282450761E-2</c:v>
                </c:pt>
                <c:pt idx="66">
                  <c:v>5.5079502897098231E-2</c:v>
                </c:pt>
                <c:pt idx="67">
                  <c:v>5.5087154968985558E-2</c:v>
                </c:pt>
                <c:pt idx="68">
                  <c:v>5.5086942098780865E-2</c:v>
                </c:pt>
                <c:pt idx="69">
                  <c:v>5.5090309131974192E-2</c:v>
                </c:pt>
                <c:pt idx="70">
                  <c:v>5.508210963841955E-2</c:v>
                </c:pt>
                <c:pt idx="71">
                  <c:v>5.5071890441338096E-2</c:v>
                </c:pt>
                <c:pt idx="72">
                  <c:v>5.5075877687020713E-2</c:v>
                </c:pt>
                <c:pt idx="73">
                  <c:v>5.5091092328862487E-2</c:v>
                </c:pt>
                <c:pt idx="74">
                  <c:v>5.5092576640660841E-2</c:v>
                </c:pt>
                <c:pt idx="75">
                  <c:v>5.5078557814564874E-2</c:v>
                </c:pt>
                <c:pt idx="76">
                  <c:v>5.506519463481846E-2</c:v>
                </c:pt>
                <c:pt idx="77">
                  <c:v>5.5036902218831688E-2</c:v>
                </c:pt>
                <c:pt idx="78">
                  <c:v>5.5034971200735208E-2</c:v>
                </c:pt>
                <c:pt idx="79">
                  <c:v>5.5010008808542697E-2</c:v>
                </c:pt>
                <c:pt idx="80">
                  <c:v>5.5022481504838856E-2</c:v>
                </c:pt>
                <c:pt idx="81">
                  <c:v>5.5035862900529753E-2</c:v>
                </c:pt>
                <c:pt idx="82">
                  <c:v>5.5041613600278198E-2</c:v>
                </c:pt>
                <c:pt idx="83">
                  <c:v>5.505408939261365E-2</c:v>
                </c:pt>
                <c:pt idx="84">
                  <c:v>5.5046893275056526E-2</c:v>
                </c:pt>
                <c:pt idx="85">
                  <c:v>5.5036898950546205E-2</c:v>
                </c:pt>
                <c:pt idx="86">
                  <c:v>5.5021262308078099E-2</c:v>
                </c:pt>
                <c:pt idx="87">
                  <c:v>5.5044409701007491E-2</c:v>
                </c:pt>
                <c:pt idx="88">
                  <c:v>5.5055097881989527E-2</c:v>
                </c:pt>
                <c:pt idx="89">
                  <c:v>5.5044275016734492E-2</c:v>
                </c:pt>
                <c:pt idx="90">
                  <c:v>5.5040478379908227E-2</c:v>
                </c:pt>
                <c:pt idx="91">
                  <c:v>5.5022096008110727E-2</c:v>
                </c:pt>
                <c:pt idx="92">
                  <c:v>5.503326921401322E-2</c:v>
                </c:pt>
                <c:pt idx="93">
                  <c:v>5.5021325014905254E-2</c:v>
                </c:pt>
                <c:pt idx="94">
                  <c:v>5.5011039828410588E-2</c:v>
                </c:pt>
                <c:pt idx="95">
                  <c:v>5.5024472935358379E-2</c:v>
                </c:pt>
                <c:pt idx="96">
                  <c:v>5.5018527325661162E-2</c:v>
                </c:pt>
                <c:pt idx="97">
                  <c:v>5.5026058029807048E-2</c:v>
                </c:pt>
                <c:pt idx="98">
                  <c:v>5.503053997919212E-2</c:v>
                </c:pt>
                <c:pt idx="99">
                  <c:v>5.5041404834194264E-2</c:v>
                </c:pt>
                <c:pt idx="100">
                  <c:v>5.5031529419778152E-2</c:v>
                </c:pt>
                <c:pt idx="101">
                  <c:v>5.5052201613520327E-2</c:v>
                </c:pt>
                <c:pt idx="102">
                  <c:v>5.5059657703547579E-2</c:v>
                </c:pt>
                <c:pt idx="103">
                  <c:v>5.5051264494674283E-2</c:v>
                </c:pt>
                <c:pt idx="104">
                  <c:v>5.5042029230181505E-2</c:v>
                </c:pt>
                <c:pt idx="105">
                  <c:v>5.5041279815411862E-2</c:v>
                </c:pt>
                <c:pt idx="106">
                  <c:v>5.5031353644498661E-2</c:v>
                </c:pt>
                <c:pt idx="107">
                  <c:v>5.5020821997041322E-2</c:v>
                </c:pt>
                <c:pt idx="108">
                  <c:v>5.5024566103484961E-2</c:v>
                </c:pt>
                <c:pt idx="109">
                  <c:v>5.501618477438272E-2</c:v>
                </c:pt>
                <c:pt idx="110">
                  <c:v>5.502705268953062E-2</c:v>
                </c:pt>
                <c:pt idx="111">
                  <c:v>5.5018223360506033E-2</c:v>
                </c:pt>
                <c:pt idx="112">
                  <c:v>5.5007582156878655E-2</c:v>
                </c:pt>
                <c:pt idx="113">
                  <c:v>5.5023789503034604E-2</c:v>
                </c:pt>
                <c:pt idx="114">
                  <c:v>5.5015868100295628E-2</c:v>
                </c:pt>
                <c:pt idx="115">
                  <c:v>5.5017656864522792E-2</c:v>
                </c:pt>
                <c:pt idx="116">
                  <c:v>5.5025972429749472E-2</c:v>
                </c:pt>
                <c:pt idx="117">
                  <c:v>5.5025048392186381E-2</c:v>
                </c:pt>
                <c:pt idx="118">
                  <c:v>5.504128061118322E-2</c:v>
                </c:pt>
                <c:pt idx="119">
                  <c:v>5.5070618894486181E-2</c:v>
                </c:pt>
                <c:pt idx="120">
                  <c:v>5.5065657860316426E-2</c:v>
                </c:pt>
                <c:pt idx="121">
                  <c:v>5.5058138179826896E-2</c:v>
                </c:pt>
                <c:pt idx="122">
                  <c:v>5.5069339927679255E-2</c:v>
                </c:pt>
                <c:pt idx="123">
                  <c:v>5.5062563107512438E-2</c:v>
                </c:pt>
                <c:pt idx="124">
                  <c:v>5.5065486300036763E-2</c:v>
                </c:pt>
                <c:pt idx="125">
                  <c:v>5.507581742241046E-2</c:v>
                </c:pt>
                <c:pt idx="126">
                  <c:v>5.5077115035147624E-2</c:v>
                </c:pt>
                <c:pt idx="127">
                  <c:v>5.5088875472055786E-2</c:v>
                </c:pt>
                <c:pt idx="128">
                  <c:v>5.5083394181565264E-2</c:v>
                </c:pt>
                <c:pt idx="129">
                  <c:v>5.5105567737228772E-2</c:v>
                </c:pt>
                <c:pt idx="130">
                  <c:v>5.5106150479941114E-2</c:v>
                </c:pt>
                <c:pt idx="131">
                  <c:v>5.5118064856044945E-2</c:v>
                </c:pt>
                <c:pt idx="132">
                  <c:v>5.5121154350052201E-2</c:v>
                </c:pt>
                <c:pt idx="133">
                  <c:v>5.5126819106954446E-2</c:v>
                </c:pt>
                <c:pt idx="134">
                  <c:v>5.5125553678692978E-2</c:v>
                </c:pt>
                <c:pt idx="135">
                  <c:v>5.5097545522830992E-2</c:v>
                </c:pt>
                <c:pt idx="136">
                  <c:v>5.5106615575701248E-2</c:v>
                </c:pt>
                <c:pt idx="137">
                  <c:v>5.5099641919441486E-2</c:v>
                </c:pt>
                <c:pt idx="138">
                  <c:v>5.5093978847054428E-2</c:v>
                </c:pt>
                <c:pt idx="139">
                  <c:v>5.5083214697576953E-2</c:v>
                </c:pt>
                <c:pt idx="140">
                  <c:v>5.5099938772917231E-2</c:v>
                </c:pt>
                <c:pt idx="141">
                  <c:v>5.5102997331356408E-2</c:v>
                </c:pt>
                <c:pt idx="142">
                  <c:v>5.5107291158557462E-2</c:v>
                </c:pt>
                <c:pt idx="143">
                  <c:v>5.5128017500505951E-2</c:v>
                </c:pt>
                <c:pt idx="144">
                  <c:v>5.5116631601696768E-2</c:v>
                </c:pt>
                <c:pt idx="145">
                  <c:v>5.5144753837038395E-2</c:v>
                </c:pt>
                <c:pt idx="146">
                  <c:v>5.5156376772694367E-2</c:v>
                </c:pt>
                <c:pt idx="147">
                  <c:v>5.5147835538310326E-2</c:v>
                </c:pt>
                <c:pt idx="148">
                  <c:v>5.5149311605924345E-2</c:v>
                </c:pt>
                <c:pt idx="149">
                  <c:v>5.5158766251195791E-2</c:v>
                </c:pt>
                <c:pt idx="150">
                  <c:v>5.5150949238747971E-2</c:v>
                </c:pt>
                <c:pt idx="151">
                  <c:v>5.5145417994397261E-2</c:v>
                </c:pt>
                <c:pt idx="152">
                  <c:v>5.5169347724693583E-2</c:v>
                </c:pt>
                <c:pt idx="153">
                  <c:v>5.5171353470468351E-2</c:v>
                </c:pt>
                <c:pt idx="154">
                  <c:v>5.5178368632560294E-2</c:v>
                </c:pt>
                <c:pt idx="155">
                  <c:v>5.5189081800900673E-2</c:v>
                </c:pt>
                <c:pt idx="156">
                  <c:v>5.5172089960573961E-2</c:v>
                </c:pt>
                <c:pt idx="157">
                  <c:v>5.5173240892517565E-2</c:v>
                </c:pt>
                <c:pt idx="158">
                  <c:v>5.5163430878834567E-2</c:v>
                </c:pt>
                <c:pt idx="159">
                  <c:v>5.5150766848076981E-2</c:v>
                </c:pt>
                <c:pt idx="160">
                  <c:v>5.5144138400523131E-2</c:v>
                </c:pt>
                <c:pt idx="161">
                  <c:v>5.5159891460369218E-2</c:v>
                </c:pt>
                <c:pt idx="162">
                  <c:v>5.515923356401372E-2</c:v>
                </c:pt>
                <c:pt idx="163">
                  <c:v>5.51621821045718E-2</c:v>
                </c:pt>
                <c:pt idx="164">
                  <c:v>5.5170040644232483E-2</c:v>
                </c:pt>
                <c:pt idx="165">
                  <c:v>5.5154252808081346E-2</c:v>
                </c:pt>
                <c:pt idx="166">
                  <c:v>5.5168990252544112E-2</c:v>
                </c:pt>
                <c:pt idx="167">
                  <c:v>5.5176392753143219E-2</c:v>
                </c:pt>
                <c:pt idx="168">
                  <c:v>5.5172370979560653E-2</c:v>
                </c:pt>
                <c:pt idx="169">
                  <c:v>5.5165215705915975E-2</c:v>
                </c:pt>
                <c:pt idx="170">
                  <c:v>5.5162766165274706E-2</c:v>
                </c:pt>
                <c:pt idx="171">
                  <c:v>5.5142583267898171E-2</c:v>
                </c:pt>
                <c:pt idx="172">
                  <c:v>5.5139908600649164E-2</c:v>
                </c:pt>
                <c:pt idx="173">
                  <c:v>5.5147122499423204E-2</c:v>
                </c:pt>
                <c:pt idx="174">
                  <c:v>5.5140729006507759E-2</c:v>
                </c:pt>
                <c:pt idx="175">
                  <c:v>5.5120251665672297E-2</c:v>
                </c:pt>
                <c:pt idx="176">
                  <c:v>5.5130978556344669E-2</c:v>
                </c:pt>
                <c:pt idx="177">
                  <c:v>5.5131597863372593E-2</c:v>
                </c:pt>
                <c:pt idx="178">
                  <c:v>5.5146001081527563E-2</c:v>
                </c:pt>
                <c:pt idx="179">
                  <c:v>5.5144237534276108E-2</c:v>
                </c:pt>
                <c:pt idx="180">
                  <c:v>5.5149391561892941E-2</c:v>
                </c:pt>
                <c:pt idx="181">
                  <c:v>5.5151155546314327E-2</c:v>
                </c:pt>
                <c:pt idx="182">
                  <c:v>5.5146057039210647E-2</c:v>
                </c:pt>
                <c:pt idx="183">
                  <c:v>5.514405779610753E-2</c:v>
                </c:pt>
                <c:pt idx="184">
                  <c:v>5.5133718048928526E-2</c:v>
                </c:pt>
                <c:pt idx="185">
                  <c:v>5.5142857813570367E-2</c:v>
                </c:pt>
                <c:pt idx="186">
                  <c:v>5.5116804418044181E-2</c:v>
                </c:pt>
                <c:pt idx="187">
                  <c:v>5.5130324937820795E-2</c:v>
                </c:pt>
                <c:pt idx="188">
                  <c:v>5.5120421102826868E-2</c:v>
                </c:pt>
                <c:pt idx="189">
                  <c:v>5.512011679360531E-2</c:v>
                </c:pt>
                <c:pt idx="190">
                  <c:v>5.5113053585499221E-2</c:v>
                </c:pt>
                <c:pt idx="191">
                  <c:v>5.5122876923585036E-2</c:v>
                </c:pt>
                <c:pt idx="192">
                  <c:v>5.5129882370710773E-2</c:v>
                </c:pt>
                <c:pt idx="193">
                  <c:v>5.515190125078645E-2</c:v>
                </c:pt>
                <c:pt idx="194">
                  <c:v>5.5132312244450747E-2</c:v>
                </c:pt>
                <c:pt idx="195">
                  <c:v>5.5121001784718626E-2</c:v>
                </c:pt>
                <c:pt idx="196">
                  <c:v>5.5138797311988529E-2</c:v>
                </c:pt>
                <c:pt idx="197">
                  <c:v>5.5118361292723593E-2</c:v>
                </c:pt>
                <c:pt idx="198">
                  <c:v>5.5114843356564969E-2</c:v>
                </c:pt>
                <c:pt idx="199">
                  <c:v>5.5123464662345377E-2</c:v>
                </c:pt>
                <c:pt idx="200">
                  <c:v>5.5103187563318827E-2</c:v>
                </c:pt>
                <c:pt idx="201">
                  <c:v>5.5138985511110572E-2</c:v>
                </c:pt>
                <c:pt idx="202">
                  <c:v>5.5144945496190992E-2</c:v>
                </c:pt>
                <c:pt idx="203">
                  <c:v>5.5138505748540172E-2</c:v>
                </c:pt>
                <c:pt idx="204">
                  <c:v>5.5113371091256871E-2</c:v>
                </c:pt>
                <c:pt idx="205">
                  <c:v>5.510781605358564E-2</c:v>
                </c:pt>
                <c:pt idx="206">
                  <c:v>5.5113077684556123E-2</c:v>
                </c:pt>
                <c:pt idx="207">
                  <c:v>5.5112406709557339E-2</c:v>
                </c:pt>
                <c:pt idx="208">
                  <c:v>5.5122591943656728E-2</c:v>
                </c:pt>
                <c:pt idx="209">
                  <c:v>5.5114115873229445E-2</c:v>
                </c:pt>
                <c:pt idx="210">
                  <c:v>5.5124779579762986E-2</c:v>
                </c:pt>
                <c:pt idx="211">
                  <c:v>5.5127234512456366E-2</c:v>
                </c:pt>
                <c:pt idx="212">
                  <c:v>5.5125298783456449E-2</c:v>
                </c:pt>
                <c:pt idx="213">
                  <c:v>5.5130271855661037E-2</c:v>
                </c:pt>
                <c:pt idx="214">
                  <c:v>5.5137016791866271E-2</c:v>
                </c:pt>
                <c:pt idx="215">
                  <c:v>5.5142990572147256E-2</c:v>
                </c:pt>
                <c:pt idx="216">
                  <c:v>5.5129834064833724E-2</c:v>
                </c:pt>
                <c:pt idx="217">
                  <c:v>5.513331291186313E-2</c:v>
                </c:pt>
                <c:pt idx="218">
                  <c:v>5.5134071823696965E-2</c:v>
                </c:pt>
                <c:pt idx="219">
                  <c:v>5.513741059941818E-2</c:v>
                </c:pt>
                <c:pt idx="220">
                  <c:v>5.5150373702092526E-2</c:v>
                </c:pt>
                <c:pt idx="221">
                  <c:v>5.5140993987606003E-2</c:v>
                </c:pt>
                <c:pt idx="222">
                  <c:v>5.5147372387514944E-2</c:v>
                </c:pt>
                <c:pt idx="223">
                  <c:v>5.5168682956047758E-2</c:v>
                </c:pt>
                <c:pt idx="224">
                  <c:v>5.5182894548546961E-2</c:v>
                </c:pt>
                <c:pt idx="225">
                  <c:v>5.5192075470643531E-2</c:v>
                </c:pt>
                <c:pt idx="226">
                  <c:v>5.5185814072252447E-2</c:v>
                </c:pt>
                <c:pt idx="227">
                  <c:v>5.5184740449605016E-2</c:v>
                </c:pt>
                <c:pt idx="228">
                  <c:v>5.5176802109499934E-2</c:v>
                </c:pt>
                <c:pt idx="229">
                  <c:v>5.5178793028772148E-2</c:v>
                </c:pt>
                <c:pt idx="230">
                  <c:v>5.5186300771106866E-2</c:v>
                </c:pt>
                <c:pt idx="231">
                  <c:v>5.5197582112586262E-2</c:v>
                </c:pt>
                <c:pt idx="232">
                  <c:v>5.5205556812071427E-2</c:v>
                </c:pt>
                <c:pt idx="233">
                  <c:v>5.518488533683704E-2</c:v>
                </c:pt>
                <c:pt idx="234">
                  <c:v>5.5192934637301412E-2</c:v>
                </c:pt>
                <c:pt idx="235">
                  <c:v>5.5193288297490498E-2</c:v>
                </c:pt>
                <c:pt idx="236">
                  <c:v>5.5207653437992658E-2</c:v>
                </c:pt>
                <c:pt idx="237">
                  <c:v>5.5220890763818913E-2</c:v>
                </c:pt>
                <c:pt idx="238">
                  <c:v>5.522237422153458E-2</c:v>
                </c:pt>
                <c:pt idx="239">
                  <c:v>5.522134688667326E-2</c:v>
                </c:pt>
                <c:pt idx="240">
                  <c:v>5.5229688618410717E-2</c:v>
                </c:pt>
                <c:pt idx="241">
                  <c:v>5.5235186671669871E-2</c:v>
                </c:pt>
                <c:pt idx="242">
                  <c:v>5.5240518361435648E-2</c:v>
                </c:pt>
                <c:pt idx="243">
                  <c:v>5.5230616527942242E-2</c:v>
                </c:pt>
                <c:pt idx="244">
                  <c:v>5.5244995078911938E-2</c:v>
                </c:pt>
                <c:pt idx="245">
                  <c:v>5.5232665038521887E-2</c:v>
                </c:pt>
                <c:pt idx="246">
                  <c:v>5.5230761540708689E-2</c:v>
                </c:pt>
                <c:pt idx="247">
                  <c:v>5.5237718988528098E-2</c:v>
                </c:pt>
                <c:pt idx="248">
                  <c:v>5.5243138389488571E-2</c:v>
                </c:pt>
                <c:pt idx="249">
                  <c:v>5.5224067014089114E-2</c:v>
                </c:pt>
                <c:pt idx="250">
                  <c:v>5.5217048695189556E-2</c:v>
                </c:pt>
                <c:pt idx="251">
                  <c:v>5.5222329473651945E-2</c:v>
                </c:pt>
                <c:pt idx="252">
                  <c:v>5.5237874391835189E-2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6-3F41-A367-84E74741A2A2}"/>
            </c:ext>
          </c:extLst>
        </c:ser>
        <c:ser>
          <c:idx val="1"/>
          <c:order val="1"/>
          <c:tx>
            <c:strRef>
              <c:f>'Vasicek Simulation (MLE)'!$F$1</c:f>
              <c:strCache>
                <c:ptCount val="1"/>
                <c:pt idx="0">
                  <c:v>Sims 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(MLE)'!$F$2:$F$254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5.520550518916674E-2</c:v>
                </c:pt>
                <c:pt idx="2">
                  <c:v>5.5197837382240544E-2</c:v>
                </c:pt>
                <c:pt idx="3">
                  <c:v>5.5198334657832214E-2</c:v>
                </c:pt>
                <c:pt idx="4">
                  <c:v>5.5193797105992252E-2</c:v>
                </c:pt>
                <c:pt idx="5">
                  <c:v>5.5190613051514896E-2</c:v>
                </c:pt>
                <c:pt idx="6">
                  <c:v>5.5208479920593641E-2</c:v>
                </c:pt>
                <c:pt idx="7">
                  <c:v>5.5206311705746434E-2</c:v>
                </c:pt>
                <c:pt idx="8">
                  <c:v>5.5213825281279758E-2</c:v>
                </c:pt>
                <c:pt idx="9">
                  <c:v>5.5196443594564146E-2</c:v>
                </c:pt>
                <c:pt idx="10">
                  <c:v>5.5203211615745783E-2</c:v>
                </c:pt>
                <c:pt idx="11">
                  <c:v>5.5207836847675343E-2</c:v>
                </c:pt>
                <c:pt idx="12">
                  <c:v>5.5216192141776733E-2</c:v>
                </c:pt>
                <c:pt idx="13">
                  <c:v>5.5240050139009039E-2</c:v>
                </c:pt>
                <c:pt idx="14">
                  <c:v>5.5238773905429445E-2</c:v>
                </c:pt>
                <c:pt idx="15">
                  <c:v>5.5245214223002229E-2</c:v>
                </c:pt>
                <c:pt idx="16">
                  <c:v>5.526076862310756E-2</c:v>
                </c:pt>
                <c:pt idx="17">
                  <c:v>5.5274236576522737E-2</c:v>
                </c:pt>
                <c:pt idx="18">
                  <c:v>5.5274733166762798E-2</c:v>
                </c:pt>
                <c:pt idx="19">
                  <c:v>5.5269730657879095E-2</c:v>
                </c:pt>
                <c:pt idx="20">
                  <c:v>5.5273468169305479E-2</c:v>
                </c:pt>
                <c:pt idx="21">
                  <c:v>5.5290196634976647E-2</c:v>
                </c:pt>
                <c:pt idx="22">
                  <c:v>5.5272424187312791E-2</c:v>
                </c:pt>
                <c:pt idx="23">
                  <c:v>5.5279539945187327E-2</c:v>
                </c:pt>
                <c:pt idx="24">
                  <c:v>5.5273434109043021E-2</c:v>
                </c:pt>
                <c:pt idx="25">
                  <c:v>5.5277206487464342E-2</c:v>
                </c:pt>
                <c:pt idx="26">
                  <c:v>5.5269709889337472E-2</c:v>
                </c:pt>
                <c:pt idx="27">
                  <c:v>5.526541844251797E-2</c:v>
                </c:pt>
                <c:pt idx="28">
                  <c:v>5.5261940644745274E-2</c:v>
                </c:pt>
                <c:pt idx="29">
                  <c:v>5.525921791335163E-2</c:v>
                </c:pt>
                <c:pt idx="30">
                  <c:v>5.5261693583301713E-2</c:v>
                </c:pt>
                <c:pt idx="31">
                  <c:v>5.5285322363796512E-2</c:v>
                </c:pt>
                <c:pt idx="32">
                  <c:v>5.5267292637421708E-2</c:v>
                </c:pt>
                <c:pt idx="33">
                  <c:v>5.5266113219196548E-2</c:v>
                </c:pt>
                <c:pt idx="34">
                  <c:v>5.5278645360142965E-2</c:v>
                </c:pt>
                <c:pt idx="35">
                  <c:v>5.5286365644621069E-2</c:v>
                </c:pt>
                <c:pt idx="36">
                  <c:v>5.5293476607586933E-2</c:v>
                </c:pt>
                <c:pt idx="37">
                  <c:v>5.5309979676468779E-2</c:v>
                </c:pt>
                <c:pt idx="38">
                  <c:v>5.5316945811644584E-2</c:v>
                </c:pt>
                <c:pt idx="39">
                  <c:v>5.5321052522901523E-2</c:v>
                </c:pt>
                <c:pt idx="40">
                  <c:v>5.5318599922071041E-2</c:v>
                </c:pt>
                <c:pt idx="41">
                  <c:v>5.5322219413121446E-2</c:v>
                </c:pt>
                <c:pt idx="42">
                  <c:v>5.5339835837238172E-2</c:v>
                </c:pt>
                <c:pt idx="43">
                  <c:v>5.533690207823911E-2</c:v>
                </c:pt>
                <c:pt idx="44">
                  <c:v>5.5351860481075703E-2</c:v>
                </c:pt>
                <c:pt idx="45">
                  <c:v>5.5353172115773092E-2</c:v>
                </c:pt>
                <c:pt idx="46">
                  <c:v>5.5329658678848287E-2</c:v>
                </c:pt>
                <c:pt idx="47">
                  <c:v>5.5309518342934828E-2</c:v>
                </c:pt>
                <c:pt idx="48">
                  <c:v>5.532161914504638E-2</c:v>
                </c:pt>
                <c:pt idx="49">
                  <c:v>5.5310488011615914E-2</c:v>
                </c:pt>
                <c:pt idx="50">
                  <c:v>5.5315960163442833E-2</c:v>
                </c:pt>
                <c:pt idx="51">
                  <c:v>5.5320862330061706E-2</c:v>
                </c:pt>
                <c:pt idx="52">
                  <c:v>5.5318686004120217E-2</c:v>
                </c:pt>
                <c:pt idx="53">
                  <c:v>5.5323764257311794E-2</c:v>
                </c:pt>
                <c:pt idx="54">
                  <c:v>5.5327714128536126E-2</c:v>
                </c:pt>
                <c:pt idx="55">
                  <c:v>5.5324738499885916E-2</c:v>
                </c:pt>
                <c:pt idx="56">
                  <c:v>5.5338077822456054E-2</c:v>
                </c:pt>
                <c:pt idx="57">
                  <c:v>5.533188967223282E-2</c:v>
                </c:pt>
                <c:pt idx="58">
                  <c:v>5.5324707137776256E-2</c:v>
                </c:pt>
                <c:pt idx="59">
                  <c:v>5.5324838708211255E-2</c:v>
                </c:pt>
                <c:pt idx="60">
                  <c:v>5.5324953780665591E-2</c:v>
                </c:pt>
                <c:pt idx="61">
                  <c:v>5.5331654828582343E-2</c:v>
                </c:pt>
                <c:pt idx="62">
                  <c:v>5.5335248558051719E-2</c:v>
                </c:pt>
                <c:pt idx="63">
                  <c:v>5.5341647770564696E-2</c:v>
                </c:pt>
                <c:pt idx="64">
                  <c:v>5.5345711693235988E-2</c:v>
                </c:pt>
                <c:pt idx="65">
                  <c:v>5.535797082856727E-2</c:v>
                </c:pt>
                <c:pt idx="66">
                  <c:v>5.5347837095638196E-2</c:v>
                </c:pt>
                <c:pt idx="67">
                  <c:v>5.5349686279708342E-2</c:v>
                </c:pt>
                <c:pt idx="68">
                  <c:v>5.5338877339146969E-2</c:v>
                </c:pt>
                <c:pt idx="69">
                  <c:v>5.5332277464904961E-2</c:v>
                </c:pt>
                <c:pt idx="70">
                  <c:v>5.5336234148126856E-2</c:v>
                </c:pt>
                <c:pt idx="71">
                  <c:v>5.5339099654052967E-2</c:v>
                </c:pt>
                <c:pt idx="72">
                  <c:v>5.5321721796964603E-2</c:v>
                </c:pt>
                <c:pt idx="73">
                  <c:v>5.5324968750535865E-2</c:v>
                </c:pt>
                <c:pt idx="74">
                  <c:v>5.5345513267232929E-2</c:v>
                </c:pt>
                <c:pt idx="75">
                  <c:v>5.5349618105936083E-2</c:v>
                </c:pt>
                <c:pt idx="76">
                  <c:v>5.535126727376171E-2</c:v>
                </c:pt>
                <c:pt idx="77">
                  <c:v>5.5347337980730008E-2</c:v>
                </c:pt>
                <c:pt idx="78">
                  <c:v>5.5342017760218541E-2</c:v>
                </c:pt>
                <c:pt idx="79">
                  <c:v>5.5353872924483502E-2</c:v>
                </c:pt>
                <c:pt idx="80">
                  <c:v>5.5364576265679886E-2</c:v>
                </c:pt>
                <c:pt idx="81">
                  <c:v>5.5375752772280386E-2</c:v>
                </c:pt>
                <c:pt idx="82">
                  <c:v>5.5385022959328629E-2</c:v>
                </c:pt>
                <c:pt idx="83">
                  <c:v>5.5389756247140584E-2</c:v>
                </c:pt>
                <c:pt idx="84">
                  <c:v>5.5383043612863656E-2</c:v>
                </c:pt>
                <c:pt idx="85">
                  <c:v>5.539897336907245E-2</c:v>
                </c:pt>
                <c:pt idx="86">
                  <c:v>5.5395039315409546E-2</c:v>
                </c:pt>
                <c:pt idx="87">
                  <c:v>5.5403393352532214E-2</c:v>
                </c:pt>
                <c:pt idx="88">
                  <c:v>5.541981814997788E-2</c:v>
                </c:pt>
                <c:pt idx="89">
                  <c:v>5.5413386783280998E-2</c:v>
                </c:pt>
                <c:pt idx="90">
                  <c:v>5.5412660539424188E-2</c:v>
                </c:pt>
                <c:pt idx="91">
                  <c:v>5.5419858198459501E-2</c:v>
                </c:pt>
                <c:pt idx="92">
                  <c:v>5.54153681542775E-2</c:v>
                </c:pt>
                <c:pt idx="93">
                  <c:v>5.5402263649748117E-2</c:v>
                </c:pt>
                <c:pt idx="94">
                  <c:v>5.5415330639711338E-2</c:v>
                </c:pt>
                <c:pt idx="95">
                  <c:v>5.5394304217904256E-2</c:v>
                </c:pt>
                <c:pt idx="96">
                  <c:v>5.5408418551960881E-2</c:v>
                </c:pt>
                <c:pt idx="97">
                  <c:v>5.5405028453679325E-2</c:v>
                </c:pt>
                <c:pt idx="98">
                  <c:v>5.5391318328935443E-2</c:v>
                </c:pt>
                <c:pt idx="99">
                  <c:v>5.5398194698126832E-2</c:v>
                </c:pt>
                <c:pt idx="100">
                  <c:v>5.5398134831756214E-2</c:v>
                </c:pt>
                <c:pt idx="101">
                  <c:v>5.541446027182792E-2</c:v>
                </c:pt>
                <c:pt idx="102">
                  <c:v>5.5403753103363595E-2</c:v>
                </c:pt>
                <c:pt idx="103">
                  <c:v>5.5417144625145735E-2</c:v>
                </c:pt>
                <c:pt idx="104">
                  <c:v>5.5413799248806073E-2</c:v>
                </c:pt>
                <c:pt idx="105">
                  <c:v>5.5409699517231195E-2</c:v>
                </c:pt>
                <c:pt idx="106">
                  <c:v>5.5419059698057521E-2</c:v>
                </c:pt>
                <c:pt idx="107">
                  <c:v>5.5413470979634345E-2</c:v>
                </c:pt>
                <c:pt idx="108">
                  <c:v>5.5404968764620643E-2</c:v>
                </c:pt>
                <c:pt idx="109">
                  <c:v>5.5409186214003668E-2</c:v>
                </c:pt>
                <c:pt idx="110">
                  <c:v>5.5400018758116641E-2</c:v>
                </c:pt>
                <c:pt idx="111">
                  <c:v>5.539647065138481E-2</c:v>
                </c:pt>
                <c:pt idx="112">
                  <c:v>5.5409280362086422E-2</c:v>
                </c:pt>
                <c:pt idx="113">
                  <c:v>5.541535229048563E-2</c:v>
                </c:pt>
                <c:pt idx="114">
                  <c:v>5.542025666770975E-2</c:v>
                </c:pt>
                <c:pt idx="115">
                  <c:v>5.5393132184117559E-2</c:v>
                </c:pt>
                <c:pt idx="116">
                  <c:v>5.5373384045643244E-2</c:v>
                </c:pt>
                <c:pt idx="117">
                  <c:v>5.5359438519027006E-2</c:v>
                </c:pt>
                <c:pt idx="118">
                  <c:v>5.5368512734525865E-2</c:v>
                </c:pt>
                <c:pt idx="119">
                  <c:v>5.5364145636628968E-2</c:v>
                </c:pt>
                <c:pt idx="120">
                  <c:v>5.5359036565629315E-2</c:v>
                </c:pt>
                <c:pt idx="121">
                  <c:v>5.5364075356818192E-2</c:v>
                </c:pt>
                <c:pt idx="122">
                  <c:v>5.535442953778328E-2</c:v>
                </c:pt>
                <c:pt idx="123">
                  <c:v>5.5370600704776195E-2</c:v>
                </c:pt>
                <c:pt idx="124">
                  <c:v>5.5363575730130926E-2</c:v>
                </c:pt>
                <c:pt idx="125">
                  <c:v>5.5377613977459168E-2</c:v>
                </c:pt>
                <c:pt idx="126">
                  <c:v>5.536050328651676E-2</c:v>
                </c:pt>
                <c:pt idx="127">
                  <c:v>5.5346343362519736E-2</c:v>
                </c:pt>
                <c:pt idx="128">
                  <c:v>5.5347202328101495E-2</c:v>
                </c:pt>
                <c:pt idx="129">
                  <c:v>5.5324757844164144E-2</c:v>
                </c:pt>
                <c:pt idx="130">
                  <c:v>5.5330359937564341E-2</c:v>
                </c:pt>
                <c:pt idx="131">
                  <c:v>5.5323040306390459E-2</c:v>
                </c:pt>
                <c:pt idx="132">
                  <c:v>5.530683430111534E-2</c:v>
                </c:pt>
                <c:pt idx="133">
                  <c:v>5.5293892056069667E-2</c:v>
                </c:pt>
                <c:pt idx="134">
                  <c:v>5.5309558756387031E-2</c:v>
                </c:pt>
                <c:pt idx="135">
                  <c:v>5.5309053272006754E-2</c:v>
                </c:pt>
                <c:pt idx="136">
                  <c:v>5.5287485944624161E-2</c:v>
                </c:pt>
                <c:pt idx="137">
                  <c:v>5.5292664436791657E-2</c:v>
                </c:pt>
                <c:pt idx="138">
                  <c:v>5.5299338511736906E-2</c:v>
                </c:pt>
                <c:pt idx="139">
                  <c:v>5.5289755199307664E-2</c:v>
                </c:pt>
                <c:pt idx="140">
                  <c:v>5.5299448092375587E-2</c:v>
                </c:pt>
                <c:pt idx="141">
                  <c:v>5.5303525644872981E-2</c:v>
                </c:pt>
                <c:pt idx="142">
                  <c:v>5.5291085877467408E-2</c:v>
                </c:pt>
                <c:pt idx="143">
                  <c:v>5.5267478063579061E-2</c:v>
                </c:pt>
                <c:pt idx="144">
                  <c:v>5.5295131261828709E-2</c:v>
                </c:pt>
                <c:pt idx="145">
                  <c:v>5.5271237058436895E-2</c:v>
                </c:pt>
                <c:pt idx="146">
                  <c:v>5.527139881182512E-2</c:v>
                </c:pt>
                <c:pt idx="147">
                  <c:v>5.5282244270949132E-2</c:v>
                </c:pt>
                <c:pt idx="148">
                  <c:v>5.5278143561410802E-2</c:v>
                </c:pt>
                <c:pt idx="149">
                  <c:v>5.528292444970935E-2</c:v>
                </c:pt>
                <c:pt idx="150">
                  <c:v>5.5276453565281498E-2</c:v>
                </c:pt>
                <c:pt idx="151">
                  <c:v>5.5279787913300057E-2</c:v>
                </c:pt>
                <c:pt idx="152">
                  <c:v>5.5273917372489011E-2</c:v>
                </c:pt>
                <c:pt idx="153">
                  <c:v>5.5268284508911608E-2</c:v>
                </c:pt>
                <c:pt idx="154">
                  <c:v>5.5246439421540013E-2</c:v>
                </c:pt>
                <c:pt idx="155">
                  <c:v>5.5234055245030771E-2</c:v>
                </c:pt>
                <c:pt idx="156">
                  <c:v>5.5235933518807193E-2</c:v>
                </c:pt>
                <c:pt idx="157">
                  <c:v>5.5223031166805867E-2</c:v>
                </c:pt>
                <c:pt idx="158">
                  <c:v>5.5213490353546939E-2</c:v>
                </c:pt>
                <c:pt idx="159">
                  <c:v>5.5213656307075601E-2</c:v>
                </c:pt>
                <c:pt idx="160">
                  <c:v>5.5229200111068355E-2</c:v>
                </c:pt>
                <c:pt idx="161">
                  <c:v>5.5222521250834759E-2</c:v>
                </c:pt>
                <c:pt idx="162">
                  <c:v>5.5229192889760505E-2</c:v>
                </c:pt>
                <c:pt idx="163">
                  <c:v>5.5244139366231682E-2</c:v>
                </c:pt>
                <c:pt idx="164">
                  <c:v>5.5274031658821859E-2</c:v>
                </c:pt>
                <c:pt idx="165">
                  <c:v>5.5284141405229054E-2</c:v>
                </c:pt>
                <c:pt idx="166">
                  <c:v>5.5286011037867407E-2</c:v>
                </c:pt>
                <c:pt idx="167">
                  <c:v>5.5303055684937541E-2</c:v>
                </c:pt>
                <c:pt idx="168">
                  <c:v>5.5276367385287642E-2</c:v>
                </c:pt>
                <c:pt idx="169">
                  <c:v>5.527209008529186E-2</c:v>
                </c:pt>
                <c:pt idx="170">
                  <c:v>5.5269765219441803E-2</c:v>
                </c:pt>
                <c:pt idx="171">
                  <c:v>5.5275107657794108E-2</c:v>
                </c:pt>
                <c:pt idx="172">
                  <c:v>5.5289052145107348E-2</c:v>
                </c:pt>
                <c:pt idx="173">
                  <c:v>5.5277215614873351E-2</c:v>
                </c:pt>
                <c:pt idx="174">
                  <c:v>5.5278647947527487E-2</c:v>
                </c:pt>
                <c:pt idx="175">
                  <c:v>5.5281419522559133E-2</c:v>
                </c:pt>
                <c:pt idx="176">
                  <c:v>5.5310511868722746E-2</c:v>
                </c:pt>
                <c:pt idx="177">
                  <c:v>5.5303205924747738E-2</c:v>
                </c:pt>
                <c:pt idx="178">
                  <c:v>5.5321246212091453E-2</c:v>
                </c:pt>
                <c:pt idx="179">
                  <c:v>5.5314686331928459E-2</c:v>
                </c:pt>
                <c:pt idx="180">
                  <c:v>5.5302121422780022E-2</c:v>
                </c:pt>
                <c:pt idx="181">
                  <c:v>5.529843999918007E-2</c:v>
                </c:pt>
                <c:pt idx="182">
                  <c:v>5.5290579445750727E-2</c:v>
                </c:pt>
                <c:pt idx="183">
                  <c:v>5.5291158039103769E-2</c:v>
                </c:pt>
                <c:pt idx="184">
                  <c:v>5.5284032061896832E-2</c:v>
                </c:pt>
                <c:pt idx="185">
                  <c:v>5.5295667743495987E-2</c:v>
                </c:pt>
                <c:pt idx="186">
                  <c:v>5.5278447822548531E-2</c:v>
                </c:pt>
                <c:pt idx="187">
                  <c:v>5.5278675446934565E-2</c:v>
                </c:pt>
                <c:pt idx="188">
                  <c:v>5.5262576710388187E-2</c:v>
                </c:pt>
                <c:pt idx="189">
                  <c:v>5.5264318785873311E-2</c:v>
                </c:pt>
                <c:pt idx="190">
                  <c:v>5.5262791562983728E-2</c:v>
                </c:pt>
                <c:pt idx="191">
                  <c:v>5.5287407705204024E-2</c:v>
                </c:pt>
                <c:pt idx="192">
                  <c:v>5.5290871414626519E-2</c:v>
                </c:pt>
                <c:pt idx="193">
                  <c:v>5.5288590818216472E-2</c:v>
                </c:pt>
                <c:pt idx="194">
                  <c:v>5.5283343640340786E-2</c:v>
                </c:pt>
                <c:pt idx="195">
                  <c:v>5.5291093598027703E-2</c:v>
                </c:pt>
                <c:pt idx="196">
                  <c:v>5.5299490821610404E-2</c:v>
                </c:pt>
                <c:pt idx="197">
                  <c:v>5.5280481961257351E-2</c:v>
                </c:pt>
                <c:pt idx="198">
                  <c:v>5.5290485697598271E-2</c:v>
                </c:pt>
                <c:pt idx="199">
                  <c:v>5.5280652771143184E-2</c:v>
                </c:pt>
                <c:pt idx="200">
                  <c:v>5.528782638212161E-2</c:v>
                </c:pt>
                <c:pt idx="201">
                  <c:v>5.5287394524408368E-2</c:v>
                </c:pt>
                <c:pt idx="202">
                  <c:v>5.5292890205427651E-2</c:v>
                </c:pt>
                <c:pt idx="203">
                  <c:v>5.5283156565657347E-2</c:v>
                </c:pt>
                <c:pt idx="204">
                  <c:v>5.5299450266096443E-2</c:v>
                </c:pt>
                <c:pt idx="205">
                  <c:v>5.5291392236944764E-2</c:v>
                </c:pt>
                <c:pt idx="206">
                  <c:v>5.5293194203417668E-2</c:v>
                </c:pt>
                <c:pt idx="207">
                  <c:v>5.5287024948611166E-2</c:v>
                </c:pt>
                <c:pt idx="208">
                  <c:v>5.5283294834312456E-2</c:v>
                </c:pt>
                <c:pt idx="209">
                  <c:v>5.5301362816048916E-2</c:v>
                </c:pt>
                <c:pt idx="210">
                  <c:v>5.5273697657586975E-2</c:v>
                </c:pt>
                <c:pt idx="211">
                  <c:v>5.527522900569045E-2</c:v>
                </c:pt>
                <c:pt idx="212">
                  <c:v>5.5286032221939077E-2</c:v>
                </c:pt>
                <c:pt idx="213">
                  <c:v>5.5270600750121628E-2</c:v>
                </c:pt>
                <c:pt idx="214">
                  <c:v>5.525381660595019E-2</c:v>
                </c:pt>
                <c:pt idx="215">
                  <c:v>5.5260890890103359E-2</c:v>
                </c:pt>
                <c:pt idx="216">
                  <c:v>5.5271666239189339E-2</c:v>
                </c:pt>
                <c:pt idx="217">
                  <c:v>5.5277062272735912E-2</c:v>
                </c:pt>
                <c:pt idx="218">
                  <c:v>5.5259449609077041E-2</c:v>
                </c:pt>
                <c:pt idx="219">
                  <c:v>5.5258266666552175E-2</c:v>
                </c:pt>
                <c:pt idx="220">
                  <c:v>5.5255797141721706E-2</c:v>
                </c:pt>
                <c:pt idx="221">
                  <c:v>5.5247723713579416E-2</c:v>
                </c:pt>
                <c:pt idx="222">
                  <c:v>5.5232779292953477E-2</c:v>
                </c:pt>
                <c:pt idx="223">
                  <c:v>5.5231910776166945E-2</c:v>
                </c:pt>
                <c:pt idx="224">
                  <c:v>5.5242048775576577E-2</c:v>
                </c:pt>
                <c:pt idx="225">
                  <c:v>5.5244901161760569E-2</c:v>
                </c:pt>
                <c:pt idx="226">
                  <c:v>5.52371804418645E-2</c:v>
                </c:pt>
                <c:pt idx="227">
                  <c:v>5.5234571818876865E-2</c:v>
                </c:pt>
                <c:pt idx="228">
                  <c:v>5.5215894082332996E-2</c:v>
                </c:pt>
                <c:pt idx="229">
                  <c:v>5.523051926680022E-2</c:v>
                </c:pt>
                <c:pt idx="230">
                  <c:v>5.5215204688160775E-2</c:v>
                </c:pt>
                <c:pt idx="231">
                  <c:v>5.5187589146446954E-2</c:v>
                </c:pt>
                <c:pt idx="232">
                  <c:v>5.5200439314780705E-2</c:v>
                </c:pt>
                <c:pt idx="233">
                  <c:v>5.5197020957121298E-2</c:v>
                </c:pt>
                <c:pt idx="234">
                  <c:v>5.5215680042059553E-2</c:v>
                </c:pt>
                <c:pt idx="235">
                  <c:v>5.5209576157213225E-2</c:v>
                </c:pt>
                <c:pt idx="236">
                  <c:v>5.5228866124923698E-2</c:v>
                </c:pt>
                <c:pt idx="237">
                  <c:v>5.5229467088686909E-2</c:v>
                </c:pt>
                <c:pt idx="238">
                  <c:v>5.5227089244614586E-2</c:v>
                </c:pt>
                <c:pt idx="239">
                  <c:v>5.5225046461917282E-2</c:v>
                </c:pt>
                <c:pt idx="240">
                  <c:v>5.5231531653690151E-2</c:v>
                </c:pt>
                <c:pt idx="241">
                  <c:v>5.5218847148074311E-2</c:v>
                </c:pt>
                <c:pt idx="242">
                  <c:v>5.5225870996721507E-2</c:v>
                </c:pt>
                <c:pt idx="243">
                  <c:v>5.5235457108987612E-2</c:v>
                </c:pt>
                <c:pt idx="244">
                  <c:v>5.5236263293899503E-2</c:v>
                </c:pt>
                <c:pt idx="245">
                  <c:v>5.5214698172155942E-2</c:v>
                </c:pt>
                <c:pt idx="246">
                  <c:v>5.5211953069059086E-2</c:v>
                </c:pt>
                <c:pt idx="247">
                  <c:v>5.5218514786166073E-2</c:v>
                </c:pt>
                <c:pt idx="248">
                  <c:v>5.5235247170620443E-2</c:v>
                </c:pt>
                <c:pt idx="249">
                  <c:v>5.5242323630130992E-2</c:v>
                </c:pt>
                <c:pt idx="250">
                  <c:v>5.5230936618268826E-2</c:v>
                </c:pt>
                <c:pt idx="251">
                  <c:v>5.5234099622189101E-2</c:v>
                </c:pt>
                <c:pt idx="252">
                  <c:v>5.5222035785871884E-2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6-3F41-A367-84E74741A2A2}"/>
            </c:ext>
          </c:extLst>
        </c:ser>
        <c:ser>
          <c:idx val="2"/>
          <c:order val="2"/>
          <c:tx>
            <c:strRef>
              <c:f>'Vasicek Simulation (MLE)'!$G$1</c:f>
              <c:strCache>
                <c:ptCount val="1"/>
                <c:pt idx="0">
                  <c:v>Sims 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(MLE)'!$G$2:$G$254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5.5201330478309711E-2</c:v>
                </c:pt>
                <c:pt idx="2">
                  <c:v>5.5201004203943756E-2</c:v>
                </c:pt>
                <c:pt idx="3">
                  <c:v>5.5184133105516446E-2</c:v>
                </c:pt>
                <c:pt idx="4">
                  <c:v>5.5191242940724555E-2</c:v>
                </c:pt>
                <c:pt idx="5">
                  <c:v>5.5189759936759224E-2</c:v>
                </c:pt>
                <c:pt idx="6">
                  <c:v>5.5176252650333192E-2</c:v>
                </c:pt>
                <c:pt idx="7">
                  <c:v>5.5185413891397958E-2</c:v>
                </c:pt>
                <c:pt idx="8">
                  <c:v>5.5198359561878935E-2</c:v>
                </c:pt>
                <c:pt idx="9">
                  <c:v>5.5199926472854093E-2</c:v>
                </c:pt>
                <c:pt idx="10">
                  <c:v>5.5195495119383292E-2</c:v>
                </c:pt>
                <c:pt idx="11">
                  <c:v>5.5211134723318067E-2</c:v>
                </c:pt>
                <c:pt idx="12">
                  <c:v>5.5224063579025331E-2</c:v>
                </c:pt>
                <c:pt idx="13">
                  <c:v>5.522088411969743E-2</c:v>
                </c:pt>
                <c:pt idx="14">
                  <c:v>5.5230903028940889E-2</c:v>
                </c:pt>
                <c:pt idx="15">
                  <c:v>5.5228259541732633E-2</c:v>
                </c:pt>
                <c:pt idx="16">
                  <c:v>5.5227993501295716E-2</c:v>
                </c:pt>
                <c:pt idx="17">
                  <c:v>5.5237520575504649E-2</c:v>
                </c:pt>
                <c:pt idx="18">
                  <c:v>5.5244682625968856E-2</c:v>
                </c:pt>
                <c:pt idx="19">
                  <c:v>5.5237441152351761E-2</c:v>
                </c:pt>
                <c:pt idx="20">
                  <c:v>5.5243491192849478E-2</c:v>
                </c:pt>
                <c:pt idx="21">
                  <c:v>5.524555742279879E-2</c:v>
                </c:pt>
                <c:pt idx="22">
                  <c:v>5.5244063991516337E-2</c:v>
                </c:pt>
                <c:pt idx="23">
                  <c:v>5.5239789403349761E-2</c:v>
                </c:pt>
                <c:pt idx="24">
                  <c:v>5.5248017210945077E-2</c:v>
                </c:pt>
                <c:pt idx="25">
                  <c:v>5.5234842783037953E-2</c:v>
                </c:pt>
                <c:pt idx="26">
                  <c:v>5.5243557581772518E-2</c:v>
                </c:pt>
                <c:pt idx="27">
                  <c:v>5.5238903457735369E-2</c:v>
                </c:pt>
                <c:pt idx="28">
                  <c:v>5.5254007801817058E-2</c:v>
                </c:pt>
                <c:pt idx="29">
                  <c:v>5.5256073144452758E-2</c:v>
                </c:pt>
                <c:pt idx="30">
                  <c:v>5.5265998490689347E-2</c:v>
                </c:pt>
                <c:pt idx="31">
                  <c:v>5.5266666296160435E-2</c:v>
                </c:pt>
                <c:pt idx="32">
                  <c:v>5.5274749227717239E-2</c:v>
                </c:pt>
                <c:pt idx="33">
                  <c:v>5.5277303512971894E-2</c:v>
                </c:pt>
                <c:pt idx="34">
                  <c:v>5.5279870836088867E-2</c:v>
                </c:pt>
                <c:pt idx="35">
                  <c:v>5.529190024127012E-2</c:v>
                </c:pt>
                <c:pt idx="36">
                  <c:v>5.5295574679955009E-2</c:v>
                </c:pt>
                <c:pt idx="37">
                  <c:v>5.5296899794159318E-2</c:v>
                </c:pt>
                <c:pt idx="38">
                  <c:v>5.5294966086523109E-2</c:v>
                </c:pt>
                <c:pt idx="39">
                  <c:v>5.5286006373719963E-2</c:v>
                </c:pt>
                <c:pt idx="40">
                  <c:v>5.5307518035792445E-2</c:v>
                </c:pt>
                <c:pt idx="41">
                  <c:v>5.5311354116627881E-2</c:v>
                </c:pt>
                <c:pt idx="42">
                  <c:v>5.5323054430618447E-2</c:v>
                </c:pt>
                <c:pt idx="43">
                  <c:v>5.5339342811890409E-2</c:v>
                </c:pt>
                <c:pt idx="44">
                  <c:v>5.5339424781054664E-2</c:v>
                </c:pt>
                <c:pt idx="45">
                  <c:v>5.5333114772803026E-2</c:v>
                </c:pt>
                <c:pt idx="46">
                  <c:v>5.5357992163310069E-2</c:v>
                </c:pt>
                <c:pt idx="47">
                  <c:v>5.5366894901040548E-2</c:v>
                </c:pt>
                <c:pt idx="48">
                  <c:v>5.5376633368923005E-2</c:v>
                </c:pt>
                <c:pt idx="49">
                  <c:v>5.5373894073484434E-2</c:v>
                </c:pt>
                <c:pt idx="50">
                  <c:v>5.5388829088957967E-2</c:v>
                </c:pt>
                <c:pt idx="51">
                  <c:v>5.5393371503801241E-2</c:v>
                </c:pt>
                <c:pt idx="52">
                  <c:v>5.54096209966983E-2</c:v>
                </c:pt>
                <c:pt idx="53">
                  <c:v>5.5409642533549706E-2</c:v>
                </c:pt>
                <c:pt idx="54">
                  <c:v>5.5432361514674108E-2</c:v>
                </c:pt>
                <c:pt idx="55">
                  <c:v>5.543685814244699E-2</c:v>
                </c:pt>
                <c:pt idx="56">
                  <c:v>5.5435523310617255E-2</c:v>
                </c:pt>
                <c:pt idx="57">
                  <c:v>5.5447546843198567E-2</c:v>
                </c:pt>
                <c:pt idx="58">
                  <c:v>5.54435886717402E-2</c:v>
                </c:pt>
                <c:pt idx="59">
                  <c:v>5.5454057529446599E-2</c:v>
                </c:pt>
                <c:pt idx="60">
                  <c:v>5.5457496372038791E-2</c:v>
                </c:pt>
                <c:pt idx="61">
                  <c:v>5.5459064639833029E-2</c:v>
                </c:pt>
                <c:pt idx="62">
                  <c:v>5.5452746825526152E-2</c:v>
                </c:pt>
                <c:pt idx="63">
                  <c:v>5.5462935261690521E-2</c:v>
                </c:pt>
                <c:pt idx="64">
                  <c:v>5.5470336705791976E-2</c:v>
                </c:pt>
                <c:pt idx="65">
                  <c:v>5.5481599389753E-2</c:v>
                </c:pt>
                <c:pt idx="66">
                  <c:v>5.5478827080827534E-2</c:v>
                </c:pt>
                <c:pt idx="67">
                  <c:v>5.5471439891510231E-2</c:v>
                </c:pt>
                <c:pt idx="68">
                  <c:v>5.5465811927161213E-2</c:v>
                </c:pt>
                <c:pt idx="69">
                  <c:v>5.5463254608578177E-2</c:v>
                </c:pt>
                <c:pt idx="70">
                  <c:v>5.5444053152144526E-2</c:v>
                </c:pt>
                <c:pt idx="71">
                  <c:v>5.5450586759732357E-2</c:v>
                </c:pt>
                <c:pt idx="72">
                  <c:v>5.5458915974409523E-2</c:v>
                </c:pt>
                <c:pt idx="73">
                  <c:v>5.5464574711344819E-2</c:v>
                </c:pt>
                <c:pt idx="74">
                  <c:v>5.5467237563268178E-2</c:v>
                </c:pt>
                <c:pt idx="75">
                  <c:v>5.5463596824246481E-2</c:v>
                </c:pt>
                <c:pt idx="76">
                  <c:v>5.5449304573072344E-2</c:v>
                </c:pt>
                <c:pt idx="77">
                  <c:v>5.5442896072816883E-2</c:v>
                </c:pt>
                <c:pt idx="78">
                  <c:v>5.5451118220603023E-2</c:v>
                </c:pt>
                <c:pt idx="79">
                  <c:v>5.5461108694496289E-2</c:v>
                </c:pt>
                <c:pt idx="80">
                  <c:v>5.5480247988186904E-2</c:v>
                </c:pt>
                <c:pt idx="81">
                  <c:v>5.5476440551259575E-2</c:v>
                </c:pt>
                <c:pt idx="82">
                  <c:v>5.5480801241998362E-2</c:v>
                </c:pt>
                <c:pt idx="83">
                  <c:v>5.547464299159293E-2</c:v>
                </c:pt>
                <c:pt idx="84">
                  <c:v>5.5475150482738905E-2</c:v>
                </c:pt>
                <c:pt idx="85">
                  <c:v>5.5470810144010875E-2</c:v>
                </c:pt>
                <c:pt idx="86">
                  <c:v>5.5468152124973226E-2</c:v>
                </c:pt>
                <c:pt idx="87">
                  <c:v>5.5483618012560298E-2</c:v>
                </c:pt>
                <c:pt idx="88">
                  <c:v>5.5467398271766888E-2</c:v>
                </c:pt>
                <c:pt idx="89">
                  <c:v>5.5457547123062195E-2</c:v>
                </c:pt>
                <c:pt idx="90">
                  <c:v>5.5472809648865813E-2</c:v>
                </c:pt>
                <c:pt idx="91">
                  <c:v>5.5461592255691104E-2</c:v>
                </c:pt>
                <c:pt idx="92">
                  <c:v>5.5466920107898325E-2</c:v>
                </c:pt>
                <c:pt idx="93">
                  <c:v>5.5449544339771041E-2</c:v>
                </c:pt>
                <c:pt idx="94">
                  <c:v>5.5444155868751802E-2</c:v>
                </c:pt>
                <c:pt idx="95">
                  <c:v>5.541913738859322E-2</c:v>
                </c:pt>
                <c:pt idx="96">
                  <c:v>5.542896163592069E-2</c:v>
                </c:pt>
                <c:pt idx="97">
                  <c:v>5.5426750616785897E-2</c:v>
                </c:pt>
                <c:pt idx="98">
                  <c:v>5.5438179712512109E-2</c:v>
                </c:pt>
                <c:pt idx="99">
                  <c:v>5.5446174566942424E-2</c:v>
                </c:pt>
                <c:pt idx="100">
                  <c:v>5.5441261525806064E-2</c:v>
                </c:pt>
                <c:pt idx="101">
                  <c:v>5.5437894700333591E-2</c:v>
                </c:pt>
                <c:pt idx="102">
                  <c:v>5.5426308820532212E-2</c:v>
                </c:pt>
                <c:pt idx="103">
                  <c:v>5.5427297447938353E-2</c:v>
                </c:pt>
                <c:pt idx="104">
                  <c:v>5.5442594354465198E-2</c:v>
                </c:pt>
                <c:pt idx="105">
                  <c:v>5.5470985917822846E-2</c:v>
                </c:pt>
                <c:pt idx="106">
                  <c:v>5.5483073633734586E-2</c:v>
                </c:pt>
                <c:pt idx="107">
                  <c:v>5.5477425220074185E-2</c:v>
                </c:pt>
                <c:pt idx="108">
                  <c:v>5.5464287561024089E-2</c:v>
                </c:pt>
                <c:pt idx="109">
                  <c:v>5.5464985091004497E-2</c:v>
                </c:pt>
                <c:pt idx="110">
                  <c:v>5.5472281846565212E-2</c:v>
                </c:pt>
                <c:pt idx="111">
                  <c:v>5.5463985996264183E-2</c:v>
                </c:pt>
                <c:pt idx="112">
                  <c:v>5.5470747302044612E-2</c:v>
                </c:pt>
                <c:pt idx="113">
                  <c:v>5.547225538746417E-2</c:v>
                </c:pt>
                <c:pt idx="114">
                  <c:v>5.5473094936906456E-2</c:v>
                </c:pt>
                <c:pt idx="115">
                  <c:v>5.5476701690061685E-2</c:v>
                </c:pt>
                <c:pt idx="116">
                  <c:v>5.5474860659573098E-2</c:v>
                </c:pt>
                <c:pt idx="117">
                  <c:v>5.5477367031265649E-2</c:v>
                </c:pt>
                <c:pt idx="118">
                  <c:v>5.54801703224388E-2</c:v>
                </c:pt>
                <c:pt idx="119">
                  <c:v>5.5466788294557368E-2</c:v>
                </c:pt>
                <c:pt idx="120">
                  <c:v>5.5466111985418239E-2</c:v>
                </c:pt>
                <c:pt idx="121">
                  <c:v>5.5465695624360538E-2</c:v>
                </c:pt>
                <c:pt idx="122">
                  <c:v>5.5463338541578609E-2</c:v>
                </c:pt>
                <c:pt idx="123">
                  <c:v>5.5451812055555216E-2</c:v>
                </c:pt>
                <c:pt idx="124">
                  <c:v>5.5437231112179929E-2</c:v>
                </c:pt>
                <c:pt idx="125">
                  <c:v>5.5446015347408048E-2</c:v>
                </c:pt>
                <c:pt idx="126">
                  <c:v>5.5435277067693876E-2</c:v>
                </c:pt>
                <c:pt idx="127">
                  <c:v>5.5439397724329695E-2</c:v>
                </c:pt>
                <c:pt idx="128">
                  <c:v>5.5456440535141184E-2</c:v>
                </c:pt>
                <c:pt idx="129">
                  <c:v>5.545732750043568E-2</c:v>
                </c:pt>
                <c:pt idx="130">
                  <c:v>5.5457921448700022E-2</c:v>
                </c:pt>
                <c:pt idx="131">
                  <c:v>5.5466258965704549E-2</c:v>
                </c:pt>
                <c:pt idx="132">
                  <c:v>5.545047362759313E-2</c:v>
                </c:pt>
                <c:pt idx="133">
                  <c:v>5.5444923877349776E-2</c:v>
                </c:pt>
                <c:pt idx="134">
                  <c:v>5.5434802787664557E-2</c:v>
                </c:pt>
                <c:pt idx="135">
                  <c:v>5.5409192134894335E-2</c:v>
                </c:pt>
                <c:pt idx="136">
                  <c:v>5.5402882868712852E-2</c:v>
                </c:pt>
                <c:pt idx="137">
                  <c:v>5.5424310695473954E-2</c:v>
                </c:pt>
                <c:pt idx="138">
                  <c:v>5.5453866078177136E-2</c:v>
                </c:pt>
                <c:pt idx="139">
                  <c:v>5.5454629628942244E-2</c:v>
                </c:pt>
                <c:pt idx="140">
                  <c:v>5.5456594709665394E-2</c:v>
                </c:pt>
                <c:pt idx="141">
                  <c:v>5.5463636757658294E-2</c:v>
                </c:pt>
                <c:pt idx="142">
                  <c:v>5.5472146157641393E-2</c:v>
                </c:pt>
                <c:pt idx="143">
                  <c:v>5.5456112803992035E-2</c:v>
                </c:pt>
                <c:pt idx="144">
                  <c:v>5.5436317168372364E-2</c:v>
                </c:pt>
                <c:pt idx="145">
                  <c:v>5.5414788180515165E-2</c:v>
                </c:pt>
                <c:pt idx="146">
                  <c:v>5.5407480864544036E-2</c:v>
                </c:pt>
                <c:pt idx="147">
                  <c:v>5.5410717940594684E-2</c:v>
                </c:pt>
                <c:pt idx="148">
                  <c:v>5.540909988223526E-2</c:v>
                </c:pt>
                <c:pt idx="149">
                  <c:v>5.5400212227950177E-2</c:v>
                </c:pt>
                <c:pt idx="150">
                  <c:v>5.5399110220647321E-2</c:v>
                </c:pt>
                <c:pt idx="151">
                  <c:v>5.539048529257614E-2</c:v>
                </c:pt>
                <c:pt idx="152">
                  <c:v>5.5411791368586837E-2</c:v>
                </c:pt>
                <c:pt idx="153">
                  <c:v>5.542720256339187E-2</c:v>
                </c:pt>
                <c:pt idx="154">
                  <c:v>5.5421617284320671E-2</c:v>
                </c:pt>
                <c:pt idx="155">
                  <c:v>5.5419926027134414E-2</c:v>
                </c:pt>
                <c:pt idx="156">
                  <c:v>5.5432535472672982E-2</c:v>
                </c:pt>
                <c:pt idx="157">
                  <c:v>5.5438293356713013E-2</c:v>
                </c:pt>
                <c:pt idx="158">
                  <c:v>5.5446471511110984E-2</c:v>
                </c:pt>
                <c:pt idx="159">
                  <c:v>5.5470327241024478E-2</c:v>
                </c:pt>
                <c:pt idx="160">
                  <c:v>5.5476541821519648E-2</c:v>
                </c:pt>
                <c:pt idx="161">
                  <c:v>5.5452496982990207E-2</c:v>
                </c:pt>
                <c:pt idx="162">
                  <c:v>5.5438523764293812E-2</c:v>
                </c:pt>
                <c:pt idx="163">
                  <c:v>5.5444405306112443E-2</c:v>
                </c:pt>
                <c:pt idx="164">
                  <c:v>5.5447067655512883E-2</c:v>
                </c:pt>
                <c:pt idx="165">
                  <c:v>5.5435491917922797E-2</c:v>
                </c:pt>
                <c:pt idx="166">
                  <c:v>5.5431776659920183E-2</c:v>
                </c:pt>
                <c:pt idx="167">
                  <c:v>5.5454558150726939E-2</c:v>
                </c:pt>
                <c:pt idx="168">
                  <c:v>5.5432620078902387E-2</c:v>
                </c:pt>
                <c:pt idx="169">
                  <c:v>5.5444624220706389E-2</c:v>
                </c:pt>
                <c:pt idx="170">
                  <c:v>5.5449986385341835E-2</c:v>
                </c:pt>
                <c:pt idx="171">
                  <c:v>5.5442890384291017E-2</c:v>
                </c:pt>
                <c:pt idx="172">
                  <c:v>5.5455737098464068E-2</c:v>
                </c:pt>
                <c:pt idx="173">
                  <c:v>5.5467320784137131E-2</c:v>
                </c:pt>
                <c:pt idx="174">
                  <c:v>5.5458929623509276E-2</c:v>
                </c:pt>
                <c:pt idx="175">
                  <c:v>5.544185436208348E-2</c:v>
                </c:pt>
                <c:pt idx="176">
                  <c:v>5.5456464345555095E-2</c:v>
                </c:pt>
                <c:pt idx="177">
                  <c:v>5.5464756230922549E-2</c:v>
                </c:pt>
                <c:pt idx="178">
                  <c:v>5.5488312310598996E-2</c:v>
                </c:pt>
                <c:pt idx="179">
                  <c:v>5.54780432844783E-2</c:v>
                </c:pt>
                <c:pt idx="180">
                  <c:v>5.5464557397917454E-2</c:v>
                </c:pt>
                <c:pt idx="181">
                  <c:v>5.5447083562714237E-2</c:v>
                </c:pt>
                <c:pt idx="182">
                  <c:v>5.5442380912609814E-2</c:v>
                </c:pt>
                <c:pt idx="183">
                  <c:v>5.5441918386747981E-2</c:v>
                </c:pt>
                <c:pt idx="184">
                  <c:v>5.5417088060390404E-2</c:v>
                </c:pt>
                <c:pt idx="185">
                  <c:v>5.5409943111060157E-2</c:v>
                </c:pt>
                <c:pt idx="186">
                  <c:v>5.5410808400298647E-2</c:v>
                </c:pt>
                <c:pt idx="187">
                  <c:v>5.5409010660201527E-2</c:v>
                </c:pt>
                <c:pt idx="188">
                  <c:v>5.5420209278628271E-2</c:v>
                </c:pt>
                <c:pt idx="189">
                  <c:v>5.5431080682947644E-2</c:v>
                </c:pt>
                <c:pt idx="190">
                  <c:v>5.541912936733575E-2</c:v>
                </c:pt>
                <c:pt idx="191">
                  <c:v>5.5425021686060609E-2</c:v>
                </c:pt>
                <c:pt idx="192">
                  <c:v>5.5426096933130997E-2</c:v>
                </c:pt>
                <c:pt idx="193">
                  <c:v>5.5431421597348943E-2</c:v>
                </c:pt>
                <c:pt idx="194">
                  <c:v>5.5425982748415585E-2</c:v>
                </c:pt>
                <c:pt idx="195">
                  <c:v>5.5429703847900934E-2</c:v>
                </c:pt>
                <c:pt idx="196">
                  <c:v>5.5425776995096453E-2</c:v>
                </c:pt>
                <c:pt idx="197">
                  <c:v>5.5429302112210824E-2</c:v>
                </c:pt>
                <c:pt idx="198">
                  <c:v>5.5435899852487612E-2</c:v>
                </c:pt>
                <c:pt idx="199">
                  <c:v>5.5420503702116132E-2</c:v>
                </c:pt>
                <c:pt idx="200">
                  <c:v>5.5430097363101768E-2</c:v>
                </c:pt>
                <c:pt idx="201">
                  <c:v>5.5429351553552463E-2</c:v>
                </c:pt>
                <c:pt idx="202">
                  <c:v>5.5429506034957679E-2</c:v>
                </c:pt>
                <c:pt idx="203">
                  <c:v>5.5444091941856559E-2</c:v>
                </c:pt>
                <c:pt idx="204">
                  <c:v>5.543618323175635E-2</c:v>
                </c:pt>
                <c:pt idx="205">
                  <c:v>5.5432396547756911E-2</c:v>
                </c:pt>
                <c:pt idx="206">
                  <c:v>5.5425636452889608E-2</c:v>
                </c:pt>
                <c:pt idx="207">
                  <c:v>5.5418895907452241E-2</c:v>
                </c:pt>
                <c:pt idx="208">
                  <c:v>5.5419070249890644E-2</c:v>
                </c:pt>
                <c:pt idx="209">
                  <c:v>5.5409962811461974E-2</c:v>
                </c:pt>
                <c:pt idx="210">
                  <c:v>5.542389163376666E-2</c:v>
                </c:pt>
                <c:pt idx="211">
                  <c:v>5.5427085203935446E-2</c:v>
                </c:pt>
                <c:pt idx="212">
                  <c:v>5.5421952669739351E-2</c:v>
                </c:pt>
                <c:pt idx="213">
                  <c:v>5.5412189047344525E-2</c:v>
                </c:pt>
                <c:pt idx="214">
                  <c:v>5.540446922710885E-2</c:v>
                </c:pt>
                <c:pt idx="215">
                  <c:v>5.5379498353284748E-2</c:v>
                </c:pt>
                <c:pt idx="216">
                  <c:v>5.5380569321869223E-2</c:v>
                </c:pt>
                <c:pt idx="217">
                  <c:v>5.5369093927800872E-2</c:v>
                </c:pt>
                <c:pt idx="218">
                  <c:v>5.5387765977005982E-2</c:v>
                </c:pt>
                <c:pt idx="219">
                  <c:v>5.5401085241376005E-2</c:v>
                </c:pt>
                <c:pt idx="220">
                  <c:v>5.5416571730237042E-2</c:v>
                </c:pt>
                <c:pt idx="221">
                  <c:v>5.5433139551364259E-2</c:v>
                </c:pt>
                <c:pt idx="222">
                  <c:v>5.5411638217329778E-2</c:v>
                </c:pt>
                <c:pt idx="223">
                  <c:v>5.5407033467599072E-2</c:v>
                </c:pt>
                <c:pt idx="224">
                  <c:v>5.5401601289358206E-2</c:v>
                </c:pt>
                <c:pt idx="225">
                  <c:v>5.5404659338164089E-2</c:v>
                </c:pt>
                <c:pt idx="226">
                  <c:v>5.5402435584612039E-2</c:v>
                </c:pt>
                <c:pt idx="227">
                  <c:v>5.5394266848634008E-2</c:v>
                </c:pt>
                <c:pt idx="228">
                  <c:v>5.5394448526736514E-2</c:v>
                </c:pt>
                <c:pt idx="229">
                  <c:v>5.5367106278874173E-2</c:v>
                </c:pt>
                <c:pt idx="230">
                  <c:v>5.5370535530590424E-2</c:v>
                </c:pt>
                <c:pt idx="231">
                  <c:v>5.5374850375172292E-2</c:v>
                </c:pt>
                <c:pt idx="232">
                  <c:v>5.5373381261627407E-2</c:v>
                </c:pt>
                <c:pt idx="233">
                  <c:v>5.5362490720252955E-2</c:v>
                </c:pt>
                <c:pt idx="234">
                  <c:v>5.5356229304681294E-2</c:v>
                </c:pt>
                <c:pt idx="235">
                  <c:v>5.5334757615333019E-2</c:v>
                </c:pt>
                <c:pt idx="236">
                  <c:v>5.5316272715361339E-2</c:v>
                </c:pt>
                <c:pt idx="237">
                  <c:v>5.5321595453835408E-2</c:v>
                </c:pt>
                <c:pt idx="238">
                  <c:v>5.5333883846671018E-2</c:v>
                </c:pt>
                <c:pt idx="239">
                  <c:v>5.5343987024423696E-2</c:v>
                </c:pt>
                <c:pt idx="240">
                  <c:v>5.5337669338554954E-2</c:v>
                </c:pt>
                <c:pt idx="241">
                  <c:v>5.5326318556520294E-2</c:v>
                </c:pt>
                <c:pt idx="242">
                  <c:v>5.5298807684133817E-2</c:v>
                </c:pt>
                <c:pt idx="243">
                  <c:v>5.5288805316039323E-2</c:v>
                </c:pt>
                <c:pt idx="244">
                  <c:v>5.5276523066555269E-2</c:v>
                </c:pt>
                <c:pt idx="245">
                  <c:v>5.5283213958883026E-2</c:v>
                </c:pt>
                <c:pt idx="246">
                  <c:v>5.530743907230512E-2</c:v>
                </c:pt>
                <c:pt idx="247">
                  <c:v>5.5303257156544598E-2</c:v>
                </c:pt>
                <c:pt idx="248">
                  <c:v>5.5301695689171912E-2</c:v>
                </c:pt>
                <c:pt idx="249">
                  <c:v>5.5291767297593775E-2</c:v>
                </c:pt>
                <c:pt idx="250">
                  <c:v>5.5296103095551441E-2</c:v>
                </c:pt>
                <c:pt idx="251">
                  <c:v>5.5309401151596514E-2</c:v>
                </c:pt>
                <c:pt idx="252">
                  <c:v>5.5311401217227725E-2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6-3F41-A367-84E74741A2A2}"/>
            </c:ext>
          </c:extLst>
        </c:ser>
        <c:ser>
          <c:idx val="3"/>
          <c:order val="3"/>
          <c:tx>
            <c:strRef>
              <c:f>'Vasicek Simulation (MLE)'!$H$1</c:f>
              <c:strCache>
                <c:ptCount val="1"/>
                <c:pt idx="0">
                  <c:v>Sims 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(MLE)'!$H$2:$H$254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5.5215961423139358E-2</c:v>
                </c:pt>
                <c:pt idx="2">
                  <c:v>5.5219982331581548E-2</c:v>
                </c:pt>
                <c:pt idx="3">
                  <c:v>5.5227856752955211E-2</c:v>
                </c:pt>
                <c:pt idx="4">
                  <c:v>5.5220588836459021E-2</c:v>
                </c:pt>
                <c:pt idx="5">
                  <c:v>5.5234617374830215E-2</c:v>
                </c:pt>
                <c:pt idx="6">
                  <c:v>5.5212576911636072E-2</c:v>
                </c:pt>
                <c:pt idx="7">
                  <c:v>5.5209477633012281E-2</c:v>
                </c:pt>
                <c:pt idx="8">
                  <c:v>5.5197669418506748E-2</c:v>
                </c:pt>
                <c:pt idx="9">
                  <c:v>5.5183086984384268E-2</c:v>
                </c:pt>
                <c:pt idx="10">
                  <c:v>5.5187160380556433E-2</c:v>
                </c:pt>
                <c:pt idx="11">
                  <c:v>5.5195871191581043E-2</c:v>
                </c:pt>
                <c:pt idx="12">
                  <c:v>5.5195321006479503E-2</c:v>
                </c:pt>
                <c:pt idx="13">
                  <c:v>5.5202183914565411E-2</c:v>
                </c:pt>
                <c:pt idx="14">
                  <c:v>5.5185494837885707E-2</c:v>
                </c:pt>
                <c:pt idx="15">
                  <c:v>5.5165843914463407E-2</c:v>
                </c:pt>
                <c:pt idx="16">
                  <c:v>5.5166927946924266E-2</c:v>
                </c:pt>
                <c:pt idx="17">
                  <c:v>5.5187692259100793E-2</c:v>
                </c:pt>
                <c:pt idx="18">
                  <c:v>5.5184299030298693E-2</c:v>
                </c:pt>
                <c:pt idx="19">
                  <c:v>5.5184258512914232E-2</c:v>
                </c:pt>
                <c:pt idx="20">
                  <c:v>5.5175836145320026E-2</c:v>
                </c:pt>
                <c:pt idx="21">
                  <c:v>5.5182012764389582E-2</c:v>
                </c:pt>
                <c:pt idx="22">
                  <c:v>5.5176027426982986E-2</c:v>
                </c:pt>
                <c:pt idx="23">
                  <c:v>5.518640742941542E-2</c:v>
                </c:pt>
                <c:pt idx="24">
                  <c:v>5.5193745027805823E-2</c:v>
                </c:pt>
                <c:pt idx="25">
                  <c:v>5.518373459579913E-2</c:v>
                </c:pt>
                <c:pt idx="26">
                  <c:v>5.5192889727540759E-2</c:v>
                </c:pt>
                <c:pt idx="27">
                  <c:v>5.5188543357360925E-2</c:v>
                </c:pt>
                <c:pt idx="28">
                  <c:v>5.5192784612992478E-2</c:v>
                </c:pt>
                <c:pt idx="29">
                  <c:v>5.5200345269197676E-2</c:v>
                </c:pt>
                <c:pt idx="30">
                  <c:v>5.5202662053514658E-2</c:v>
                </c:pt>
                <c:pt idx="31">
                  <c:v>5.5199273198329075E-2</c:v>
                </c:pt>
                <c:pt idx="32">
                  <c:v>5.5216700069685855E-2</c:v>
                </c:pt>
                <c:pt idx="33">
                  <c:v>5.5224792156791436E-2</c:v>
                </c:pt>
                <c:pt idx="34">
                  <c:v>5.5222326272417438E-2</c:v>
                </c:pt>
                <c:pt idx="35">
                  <c:v>5.5224791883192889E-2</c:v>
                </c:pt>
                <c:pt idx="36">
                  <c:v>5.5222125874234161E-2</c:v>
                </c:pt>
                <c:pt idx="37">
                  <c:v>5.5226108576816133E-2</c:v>
                </c:pt>
                <c:pt idx="38">
                  <c:v>5.5227097865257112E-2</c:v>
                </c:pt>
                <c:pt idx="39">
                  <c:v>5.5205478452191425E-2</c:v>
                </c:pt>
                <c:pt idx="40">
                  <c:v>5.5210813435422848E-2</c:v>
                </c:pt>
                <c:pt idx="41">
                  <c:v>5.5211551070072598E-2</c:v>
                </c:pt>
                <c:pt idx="42">
                  <c:v>5.5210036666987684E-2</c:v>
                </c:pt>
                <c:pt idx="43">
                  <c:v>5.5199211137355521E-2</c:v>
                </c:pt>
                <c:pt idx="44">
                  <c:v>5.5191078354232433E-2</c:v>
                </c:pt>
                <c:pt idx="45">
                  <c:v>5.5194972061383699E-2</c:v>
                </c:pt>
                <c:pt idx="46">
                  <c:v>5.5201622993401339E-2</c:v>
                </c:pt>
                <c:pt idx="47">
                  <c:v>5.519657065165004E-2</c:v>
                </c:pt>
                <c:pt idx="48">
                  <c:v>5.520817005536871E-2</c:v>
                </c:pt>
                <c:pt idx="49">
                  <c:v>5.5196771476313411E-2</c:v>
                </c:pt>
                <c:pt idx="50">
                  <c:v>5.5182932548077726E-2</c:v>
                </c:pt>
                <c:pt idx="51">
                  <c:v>5.5187439678149201E-2</c:v>
                </c:pt>
                <c:pt idx="52">
                  <c:v>5.5187455081893398E-2</c:v>
                </c:pt>
                <c:pt idx="53">
                  <c:v>5.5197920269684189E-2</c:v>
                </c:pt>
                <c:pt idx="54">
                  <c:v>5.5192410791824409E-2</c:v>
                </c:pt>
                <c:pt idx="55">
                  <c:v>5.5207719222956968E-2</c:v>
                </c:pt>
                <c:pt idx="56">
                  <c:v>5.5206677664774245E-2</c:v>
                </c:pt>
                <c:pt idx="57">
                  <c:v>5.5201506464255062E-2</c:v>
                </c:pt>
                <c:pt idx="58">
                  <c:v>5.5209693265672891E-2</c:v>
                </c:pt>
                <c:pt idx="59">
                  <c:v>5.5219149027054069E-2</c:v>
                </c:pt>
                <c:pt idx="60">
                  <c:v>5.5226228122673041E-2</c:v>
                </c:pt>
                <c:pt idx="61">
                  <c:v>5.5252144941546476E-2</c:v>
                </c:pt>
                <c:pt idx="62">
                  <c:v>5.5244921977835086E-2</c:v>
                </c:pt>
                <c:pt idx="63">
                  <c:v>5.5247304435517904E-2</c:v>
                </c:pt>
                <c:pt idx="64">
                  <c:v>5.5263815030809155E-2</c:v>
                </c:pt>
                <c:pt idx="65">
                  <c:v>5.5258285351407553E-2</c:v>
                </c:pt>
                <c:pt idx="66">
                  <c:v>5.5241143041973063E-2</c:v>
                </c:pt>
                <c:pt idx="67">
                  <c:v>5.5236177985248047E-2</c:v>
                </c:pt>
                <c:pt idx="68">
                  <c:v>5.5239387552201133E-2</c:v>
                </c:pt>
                <c:pt idx="69">
                  <c:v>5.5247710864954301E-2</c:v>
                </c:pt>
                <c:pt idx="70">
                  <c:v>5.5241151043986192E-2</c:v>
                </c:pt>
                <c:pt idx="71">
                  <c:v>5.5256411067583049E-2</c:v>
                </c:pt>
                <c:pt idx="72">
                  <c:v>5.5249806971017036E-2</c:v>
                </c:pt>
                <c:pt idx="73">
                  <c:v>5.5249184958252179E-2</c:v>
                </c:pt>
                <c:pt idx="74">
                  <c:v>5.5238493588868086E-2</c:v>
                </c:pt>
                <c:pt idx="75">
                  <c:v>5.5217397391802578E-2</c:v>
                </c:pt>
                <c:pt idx="76">
                  <c:v>5.5212377113809941E-2</c:v>
                </c:pt>
                <c:pt idx="77">
                  <c:v>5.5215836639133653E-2</c:v>
                </c:pt>
                <c:pt idx="78">
                  <c:v>5.5210353207700118E-2</c:v>
                </c:pt>
                <c:pt idx="79">
                  <c:v>5.5204762991321245E-2</c:v>
                </c:pt>
                <c:pt idx="80">
                  <c:v>5.5211170961824076E-2</c:v>
                </c:pt>
                <c:pt idx="81">
                  <c:v>5.5220134987329098E-2</c:v>
                </c:pt>
                <c:pt idx="82">
                  <c:v>5.5222693282191024E-2</c:v>
                </c:pt>
                <c:pt idx="83">
                  <c:v>5.5213587543238594E-2</c:v>
                </c:pt>
                <c:pt idx="84">
                  <c:v>5.5220375354904518E-2</c:v>
                </c:pt>
                <c:pt idx="85">
                  <c:v>5.522532939740174E-2</c:v>
                </c:pt>
                <c:pt idx="86">
                  <c:v>5.5211940528277062E-2</c:v>
                </c:pt>
                <c:pt idx="87">
                  <c:v>5.520865703556832E-2</c:v>
                </c:pt>
                <c:pt idx="88">
                  <c:v>5.5210566675253536E-2</c:v>
                </c:pt>
                <c:pt idx="89">
                  <c:v>5.5191177741086707E-2</c:v>
                </c:pt>
                <c:pt idx="90">
                  <c:v>5.5213578945205212E-2</c:v>
                </c:pt>
                <c:pt idx="91">
                  <c:v>5.5223713580169483E-2</c:v>
                </c:pt>
                <c:pt idx="92">
                  <c:v>5.5234958273593635E-2</c:v>
                </c:pt>
                <c:pt idx="93">
                  <c:v>5.5246821194847195E-2</c:v>
                </c:pt>
                <c:pt idx="94">
                  <c:v>5.525789032046606E-2</c:v>
                </c:pt>
                <c:pt idx="95">
                  <c:v>5.5244358306342334E-2</c:v>
                </c:pt>
                <c:pt idx="96">
                  <c:v>5.5220517649338746E-2</c:v>
                </c:pt>
                <c:pt idx="97">
                  <c:v>5.5198881493911757E-2</c:v>
                </c:pt>
                <c:pt idx="98">
                  <c:v>5.5206216915343991E-2</c:v>
                </c:pt>
                <c:pt idx="99">
                  <c:v>5.5191013850585391E-2</c:v>
                </c:pt>
                <c:pt idx="100">
                  <c:v>5.5185848902376988E-2</c:v>
                </c:pt>
                <c:pt idx="101">
                  <c:v>5.5187490476421484E-2</c:v>
                </c:pt>
                <c:pt idx="102">
                  <c:v>5.5195739929982751E-2</c:v>
                </c:pt>
                <c:pt idx="103">
                  <c:v>5.5177889545267547E-2</c:v>
                </c:pt>
                <c:pt idx="104">
                  <c:v>5.5199339562613026E-2</c:v>
                </c:pt>
                <c:pt idx="105">
                  <c:v>5.5210635033174631E-2</c:v>
                </c:pt>
                <c:pt idx="106">
                  <c:v>5.5235532234120907E-2</c:v>
                </c:pt>
                <c:pt idx="107">
                  <c:v>5.5207856683017906E-2</c:v>
                </c:pt>
                <c:pt idx="108">
                  <c:v>5.5211061009030345E-2</c:v>
                </c:pt>
                <c:pt idx="109">
                  <c:v>5.5207085055234147E-2</c:v>
                </c:pt>
                <c:pt idx="110">
                  <c:v>5.5216380413602231E-2</c:v>
                </c:pt>
                <c:pt idx="111">
                  <c:v>5.5232112850174868E-2</c:v>
                </c:pt>
                <c:pt idx="112">
                  <c:v>5.523596479545257E-2</c:v>
                </c:pt>
                <c:pt idx="113">
                  <c:v>5.5234905037656927E-2</c:v>
                </c:pt>
                <c:pt idx="114">
                  <c:v>5.5217445599509501E-2</c:v>
                </c:pt>
                <c:pt idx="115">
                  <c:v>5.5233510792614383E-2</c:v>
                </c:pt>
                <c:pt idx="116">
                  <c:v>5.5239213184411974E-2</c:v>
                </c:pt>
                <c:pt idx="117">
                  <c:v>5.5233831822193186E-2</c:v>
                </c:pt>
                <c:pt idx="118">
                  <c:v>5.5225617521430695E-2</c:v>
                </c:pt>
                <c:pt idx="119">
                  <c:v>5.5224506983357284E-2</c:v>
                </c:pt>
                <c:pt idx="120">
                  <c:v>5.521542482033609E-2</c:v>
                </c:pt>
                <c:pt idx="121">
                  <c:v>5.5197913767486208E-2</c:v>
                </c:pt>
                <c:pt idx="122">
                  <c:v>5.5198089456628581E-2</c:v>
                </c:pt>
                <c:pt idx="123">
                  <c:v>5.518944845974575E-2</c:v>
                </c:pt>
                <c:pt idx="124">
                  <c:v>5.5191421829954485E-2</c:v>
                </c:pt>
                <c:pt idx="125">
                  <c:v>5.5194392219984366E-2</c:v>
                </c:pt>
                <c:pt idx="126">
                  <c:v>5.519120618052907E-2</c:v>
                </c:pt>
                <c:pt idx="127">
                  <c:v>5.5198990981871948E-2</c:v>
                </c:pt>
                <c:pt idx="128">
                  <c:v>5.520579041867419E-2</c:v>
                </c:pt>
                <c:pt idx="129">
                  <c:v>5.5197306359865736E-2</c:v>
                </c:pt>
                <c:pt idx="130">
                  <c:v>5.5205528386285931E-2</c:v>
                </c:pt>
                <c:pt idx="131">
                  <c:v>5.5210287510233894E-2</c:v>
                </c:pt>
                <c:pt idx="132">
                  <c:v>5.522203883307733E-2</c:v>
                </c:pt>
                <c:pt idx="133">
                  <c:v>5.5213792483007521E-2</c:v>
                </c:pt>
                <c:pt idx="134">
                  <c:v>5.5191637440961658E-2</c:v>
                </c:pt>
                <c:pt idx="135">
                  <c:v>5.5185522832267998E-2</c:v>
                </c:pt>
                <c:pt idx="136">
                  <c:v>5.5174975004228001E-2</c:v>
                </c:pt>
                <c:pt idx="137">
                  <c:v>5.5173873208953457E-2</c:v>
                </c:pt>
                <c:pt idx="138">
                  <c:v>5.5165855338505189E-2</c:v>
                </c:pt>
                <c:pt idx="139">
                  <c:v>5.5169638039431812E-2</c:v>
                </c:pt>
                <c:pt idx="140">
                  <c:v>5.5158452523010409E-2</c:v>
                </c:pt>
                <c:pt idx="141">
                  <c:v>5.5152039613212432E-2</c:v>
                </c:pt>
                <c:pt idx="142">
                  <c:v>5.5130433015726441E-2</c:v>
                </c:pt>
                <c:pt idx="143">
                  <c:v>5.5126441876641681E-2</c:v>
                </c:pt>
                <c:pt idx="144">
                  <c:v>5.5126177076622533E-2</c:v>
                </c:pt>
                <c:pt idx="145">
                  <c:v>5.5144773029459547E-2</c:v>
                </c:pt>
                <c:pt idx="146">
                  <c:v>5.5157951596407281E-2</c:v>
                </c:pt>
                <c:pt idx="147">
                  <c:v>5.5166181523130312E-2</c:v>
                </c:pt>
                <c:pt idx="148">
                  <c:v>5.5179289890252371E-2</c:v>
                </c:pt>
                <c:pt idx="149">
                  <c:v>5.517136358290381E-2</c:v>
                </c:pt>
                <c:pt idx="150">
                  <c:v>5.5178103574775185E-2</c:v>
                </c:pt>
                <c:pt idx="151">
                  <c:v>5.5190401453085125E-2</c:v>
                </c:pt>
                <c:pt idx="152">
                  <c:v>5.5169867788510803E-2</c:v>
                </c:pt>
                <c:pt idx="153">
                  <c:v>5.5159556452118605E-2</c:v>
                </c:pt>
                <c:pt idx="154">
                  <c:v>5.5172160473534626E-2</c:v>
                </c:pt>
                <c:pt idx="155">
                  <c:v>5.5163919018256034E-2</c:v>
                </c:pt>
                <c:pt idx="156">
                  <c:v>5.5166961121880971E-2</c:v>
                </c:pt>
                <c:pt idx="157">
                  <c:v>5.5165856620299769E-2</c:v>
                </c:pt>
                <c:pt idx="158">
                  <c:v>5.5174192375151969E-2</c:v>
                </c:pt>
                <c:pt idx="159">
                  <c:v>5.5177714545644282E-2</c:v>
                </c:pt>
                <c:pt idx="160">
                  <c:v>5.5173623803848451E-2</c:v>
                </c:pt>
                <c:pt idx="161">
                  <c:v>5.5158761877792457E-2</c:v>
                </c:pt>
                <c:pt idx="162">
                  <c:v>5.5193262869060192E-2</c:v>
                </c:pt>
                <c:pt idx="163">
                  <c:v>5.5188541920784678E-2</c:v>
                </c:pt>
                <c:pt idx="164">
                  <c:v>5.5206841415646073E-2</c:v>
                </c:pt>
                <c:pt idx="165">
                  <c:v>5.5225374764559743E-2</c:v>
                </c:pt>
                <c:pt idx="166">
                  <c:v>5.5197785787444872E-2</c:v>
                </c:pt>
                <c:pt idx="167">
                  <c:v>5.5181176885292137E-2</c:v>
                </c:pt>
                <c:pt idx="168">
                  <c:v>5.5177060701566492E-2</c:v>
                </c:pt>
                <c:pt idx="169">
                  <c:v>5.5173463195658384E-2</c:v>
                </c:pt>
                <c:pt idx="170">
                  <c:v>5.5168077759460733E-2</c:v>
                </c:pt>
                <c:pt idx="171">
                  <c:v>5.5166679644604491E-2</c:v>
                </c:pt>
                <c:pt idx="172">
                  <c:v>5.5177756835557056E-2</c:v>
                </c:pt>
                <c:pt idx="173">
                  <c:v>5.5164459689981737E-2</c:v>
                </c:pt>
                <c:pt idx="174">
                  <c:v>5.5161818801813478E-2</c:v>
                </c:pt>
                <c:pt idx="175">
                  <c:v>5.5162616136781931E-2</c:v>
                </c:pt>
                <c:pt idx="176">
                  <c:v>5.5170381687215775E-2</c:v>
                </c:pt>
                <c:pt idx="177">
                  <c:v>5.5187408767399269E-2</c:v>
                </c:pt>
                <c:pt idx="178">
                  <c:v>5.5199124597766623E-2</c:v>
                </c:pt>
                <c:pt idx="179">
                  <c:v>5.5201600153073065E-2</c:v>
                </c:pt>
                <c:pt idx="180">
                  <c:v>5.5193009795447306E-2</c:v>
                </c:pt>
                <c:pt idx="181">
                  <c:v>5.5200370485437515E-2</c:v>
                </c:pt>
                <c:pt idx="182">
                  <c:v>5.5192610710725364E-2</c:v>
                </c:pt>
                <c:pt idx="183">
                  <c:v>5.5206006248779221E-2</c:v>
                </c:pt>
                <c:pt idx="184">
                  <c:v>5.5205761176094485E-2</c:v>
                </c:pt>
                <c:pt idx="185">
                  <c:v>5.5183583692496548E-2</c:v>
                </c:pt>
                <c:pt idx="186">
                  <c:v>5.5204168155537491E-2</c:v>
                </c:pt>
                <c:pt idx="187">
                  <c:v>5.5204219301588781E-2</c:v>
                </c:pt>
                <c:pt idx="188">
                  <c:v>5.5199702840891859E-2</c:v>
                </c:pt>
                <c:pt idx="189">
                  <c:v>5.520451269774003E-2</c:v>
                </c:pt>
                <c:pt idx="190">
                  <c:v>5.5231924906614258E-2</c:v>
                </c:pt>
                <c:pt idx="191">
                  <c:v>5.5236564415625494E-2</c:v>
                </c:pt>
                <c:pt idx="192">
                  <c:v>5.5223427006899202E-2</c:v>
                </c:pt>
                <c:pt idx="193">
                  <c:v>5.5254307424487933E-2</c:v>
                </c:pt>
                <c:pt idx="194">
                  <c:v>5.5268628904031607E-2</c:v>
                </c:pt>
                <c:pt idx="195">
                  <c:v>5.5260450156567387E-2</c:v>
                </c:pt>
                <c:pt idx="196">
                  <c:v>5.5265320667569472E-2</c:v>
                </c:pt>
                <c:pt idx="197">
                  <c:v>5.5251184494507333E-2</c:v>
                </c:pt>
                <c:pt idx="198">
                  <c:v>5.5249777941554563E-2</c:v>
                </c:pt>
                <c:pt idx="199">
                  <c:v>5.524085834935797E-2</c:v>
                </c:pt>
                <c:pt idx="200">
                  <c:v>5.524949154232784E-2</c:v>
                </c:pt>
                <c:pt idx="201">
                  <c:v>5.5246892752599086E-2</c:v>
                </c:pt>
                <c:pt idx="202">
                  <c:v>5.5257170200822464E-2</c:v>
                </c:pt>
                <c:pt idx="203">
                  <c:v>5.5259375123889003E-2</c:v>
                </c:pt>
                <c:pt idx="204">
                  <c:v>5.5255707183545041E-2</c:v>
                </c:pt>
                <c:pt idx="205">
                  <c:v>5.5260413866210119E-2</c:v>
                </c:pt>
                <c:pt idx="206">
                  <c:v>5.5267320911825062E-2</c:v>
                </c:pt>
                <c:pt idx="207">
                  <c:v>5.5265399545251344E-2</c:v>
                </c:pt>
                <c:pt idx="208">
                  <c:v>5.5249379247032944E-2</c:v>
                </c:pt>
                <c:pt idx="209">
                  <c:v>5.5254880198384877E-2</c:v>
                </c:pt>
                <c:pt idx="210">
                  <c:v>5.5275992347987905E-2</c:v>
                </c:pt>
                <c:pt idx="211">
                  <c:v>5.528204625783395E-2</c:v>
                </c:pt>
                <c:pt idx="212">
                  <c:v>5.5270245524794044E-2</c:v>
                </c:pt>
                <c:pt idx="213">
                  <c:v>5.5268068715172453E-2</c:v>
                </c:pt>
                <c:pt idx="214">
                  <c:v>5.5274371623943955E-2</c:v>
                </c:pt>
                <c:pt idx="215">
                  <c:v>5.5265074192615747E-2</c:v>
                </c:pt>
                <c:pt idx="216">
                  <c:v>5.5267437524350767E-2</c:v>
                </c:pt>
                <c:pt idx="217">
                  <c:v>5.5260557146106434E-2</c:v>
                </c:pt>
                <c:pt idx="218">
                  <c:v>5.5254460401488327E-2</c:v>
                </c:pt>
                <c:pt idx="219">
                  <c:v>5.5247146427491345E-2</c:v>
                </c:pt>
                <c:pt idx="220">
                  <c:v>5.5246255797711898E-2</c:v>
                </c:pt>
                <c:pt idx="221">
                  <c:v>5.5234502539666282E-2</c:v>
                </c:pt>
                <c:pt idx="222">
                  <c:v>5.5244063551122546E-2</c:v>
                </c:pt>
                <c:pt idx="223">
                  <c:v>5.5258533855027853E-2</c:v>
                </c:pt>
                <c:pt idx="224">
                  <c:v>5.5257621098244482E-2</c:v>
                </c:pt>
                <c:pt idx="225">
                  <c:v>5.5269333056930742E-2</c:v>
                </c:pt>
                <c:pt idx="226">
                  <c:v>5.5240191313382987E-2</c:v>
                </c:pt>
                <c:pt idx="227">
                  <c:v>5.5251096295965439E-2</c:v>
                </c:pt>
                <c:pt idx="228">
                  <c:v>5.5274192872020032E-2</c:v>
                </c:pt>
                <c:pt idx="229">
                  <c:v>5.5284570484525349E-2</c:v>
                </c:pt>
                <c:pt idx="230">
                  <c:v>5.5276172239155347E-2</c:v>
                </c:pt>
                <c:pt idx="231">
                  <c:v>5.5280570998377E-2</c:v>
                </c:pt>
                <c:pt idx="232">
                  <c:v>5.528319940517596E-2</c:v>
                </c:pt>
                <c:pt idx="233">
                  <c:v>5.5283999511063317E-2</c:v>
                </c:pt>
                <c:pt idx="234">
                  <c:v>5.5277902961381041E-2</c:v>
                </c:pt>
                <c:pt idx="235">
                  <c:v>5.5286438471064035E-2</c:v>
                </c:pt>
                <c:pt idx="236">
                  <c:v>5.5267660143242969E-2</c:v>
                </c:pt>
                <c:pt idx="237">
                  <c:v>5.5280126654449459E-2</c:v>
                </c:pt>
                <c:pt idx="238">
                  <c:v>5.5288991033622538E-2</c:v>
                </c:pt>
                <c:pt idx="239">
                  <c:v>5.5285017762896856E-2</c:v>
                </c:pt>
                <c:pt idx="240">
                  <c:v>5.5286718089921146E-2</c:v>
                </c:pt>
                <c:pt idx="241">
                  <c:v>5.5297532602755932E-2</c:v>
                </c:pt>
                <c:pt idx="242">
                  <c:v>5.5313406675610584E-2</c:v>
                </c:pt>
                <c:pt idx="243">
                  <c:v>5.5315249079081981E-2</c:v>
                </c:pt>
                <c:pt idx="244">
                  <c:v>5.5325266169184428E-2</c:v>
                </c:pt>
                <c:pt idx="245">
                  <c:v>5.5325852751701259E-2</c:v>
                </c:pt>
                <c:pt idx="246">
                  <c:v>5.5310696397342859E-2</c:v>
                </c:pt>
                <c:pt idx="247">
                  <c:v>5.5318737215017337E-2</c:v>
                </c:pt>
                <c:pt idx="248">
                  <c:v>5.531199826381545E-2</c:v>
                </c:pt>
                <c:pt idx="249">
                  <c:v>5.5318786692569781E-2</c:v>
                </c:pt>
                <c:pt idx="250">
                  <c:v>5.5308665574369927E-2</c:v>
                </c:pt>
                <c:pt idx="251">
                  <c:v>5.5309802110123776E-2</c:v>
                </c:pt>
                <c:pt idx="252">
                  <c:v>5.5299372299812272E-2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6-3F41-A367-84E74741A2A2}"/>
            </c:ext>
          </c:extLst>
        </c:ser>
        <c:ser>
          <c:idx val="4"/>
          <c:order val="4"/>
          <c:tx>
            <c:strRef>
              <c:f>'Vasicek Simulation (MLE)'!$I$1</c:f>
              <c:strCache>
                <c:ptCount val="1"/>
                <c:pt idx="0">
                  <c:v>Sims 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(MLE)'!$I$2:$I$254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5.5198292486335246E-2</c:v>
                </c:pt>
                <c:pt idx="2">
                  <c:v>5.5191818860075507E-2</c:v>
                </c:pt>
                <c:pt idx="3">
                  <c:v>5.5187120023428772E-2</c:v>
                </c:pt>
                <c:pt idx="4">
                  <c:v>5.5184066615590638E-2</c:v>
                </c:pt>
                <c:pt idx="5">
                  <c:v>5.5185355492498311E-2</c:v>
                </c:pt>
                <c:pt idx="6">
                  <c:v>5.5178090821505411E-2</c:v>
                </c:pt>
                <c:pt idx="7">
                  <c:v>5.5181665747565244E-2</c:v>
                </c:pt>
                <c:pt idx="8">
                  <c:v>5.5178481650910764E-2</c:v>
                </c:pt>
                <c:pt idx="9">
                  <c:v>5.519040510121935E-2</c:v>
                </c:pt>
                <c:pt idx="10">
                  <c:v>5.5191002383029507E-2</c:v>
                </c:pt>
                <c:pt idx="11">
                  <c:v>5.5199305505105961E-2</c:v>
                </c:pt>
                <c:pt idx="12">
                  <c:v>5.5189099541729701E-2</c:v>
                </c:pt>
                <c:pt idx="13">
                  <c:v>5.5194802393273616E-2</c:v>
                </c:pt>
                <c:pt idx="14">
                  <c:v>5.5189541755260821E-2</c:v>
                </c:pt>
                <c:pt idx="15">
                  <c:v>5.5209489400903769E-2</c:v>
                </c:pt>
                <c:pt idx="16">
                  <c:v>5.5199674434347611E-2</c:v>
                </c:pt>
                <c:pt idx="17">
                  <c:v>5.5198061984762403E-2</c:v>
                </c:pt>
                <c:pt idx="18">
                  <c:v>5.5216830844371484E-2</c:v>
                </c:pt>
                <c:pt idx="19">
                  <c:v>5.5208343768735957E-2</c:v>
                </c:pt>
                <c:pt idx="20">
                  <c:v>5.5216776944979187E-2</c:v>
                </c:pt>
                <c:pt idx="21">
                  <c:v>5.5217694183644583E-2</c:v>
                </c:pt>
                <c:pt idx="22">
                  <c:v>5.5209699050227233E-2</c:v>
                </c:pt>
                <c:pt idx="23">
                  <c:v>5.5218784501670032E-2</c:v>
                </c:pt>
                <c:pt idx="24">
                  <c:v>5.5215020220866655E-2</c:v>
                </c:pt>
                <c:pt idx="25">
                  <c:v>5.5198757144910009E-2</c:v>
                </c:pt>
                <c:pt idx="26">
                  <c:v>5.5193175234452024E-2</c:v>
                </c:pt>
                <c:pt idx="27">
                  <c:v>5.5206336004608537E-2</c:v>
                </c:pt>
                <c:pt idx="28">
                  <c:v>5.5208993614053348E-2</c:v>
                </c:pt>
                <c:pt idx="29">
                  <c:v>5.5213533120194426E-2</c:v>
                </c:pt>
                <c:pt idx="30">
                  <c:v>5.5218597253664112E-2</c:v>
                </c:pt>
                <c:pt idx="31">
                  <c:v>5.5221689194929334E-2</c:v>
                </c:pt>
                <c:pt idx="32">
                  <c:v>5.5218417694965598E-2</c:v>
                </c:pt>
                <c:pt idx="33">
                  <c:v>5.5219620002874024E-2</c:v>
                </c:pt>
                <c:pt idx="34">
                  <c:v>5.5210841816339534E-2</c:v>
                </c:pt>
                <c:pt idx="35">
                  <c:v>5.5215329316490321E-2</c:v>
                </c:pt>
                <c:pt idx="36">
                  <c:v>5.5185614800773997E-2</c:v>
                </c:pt>
                <c:pt idx="37">
                  <c:v>5.5195458395825424E-2</c:v>
                </c:pt>
                <c:pt idx="38">
                  <c:v>5.5180262916762854E-2</c:v>
                </c:pt>
                <c:pt idx="39">
                  <c:v>5.5188790744206261E-2</c:v>
                </c:pt>
                <c:pt idx="40">
                  <c:v>5.5178143283693311E-2</c:v>
                </c:pt>
                <c:pt idx="41">
                  <c:v>5.5165049318073374E-2</c:v>
                </c:pt>
                <c:pt idx="42">
                  <c:v>5.5148867027051442E-2</c:v>
                </c:pt>
                <c:pt idx="43">
                  <c:v>5.5150381111736799E-2</c:v>
                </c:pt>
                <c:pt idx="44">
                  <c:v>5.5158841643314561E-2</c:v>
                </c:pt>
                <c:pt idx="45">
                  <c:v>5.5166873160090196E-2</c:v>
                </c:pt>
                <c:pt idx="46">
                  <c:v>5.5152279477585164E-2</c:v>
                </c:pt>
                <c:pt idx="47">
                  <c:v>5.5155912382161651E-2</c:v>
                </c:pt>
                <c:pt idx="48">
                  <c:v>5.516856542096879E-2</c:v>
                </c:pt>
                <c:pt idx="49">
                  <c:v>5.5168672998390816E-2</c:v>
                </c:pt>
                <c:pt idx="50">
                  <c:v>5.5180588621713489E-2</c:v>
                </c:pt>
                <c:pt idx="51">
                  <c:v>5.5186439039529668E-2</c:v>
                </c:pt>
                <c:pt idx="52">
                  <c:v>5.5192894091604112E-2</c:v>
                </c:pt>
                <c:pt idx="53">
                  <c:v>5.5212670618078878E-2</c:v>
                </c:pt>
                <c:pt idx="54">
                  <c:v>5.5204804393854195E-2</c:v>
                </c:pt>
                <c:pt idx="55">
                  <c:v>5.520568277674439E-2</c:v>
                </c:pt>
                <c:pt idx="56">
                  <c:v>5.5193006864725766E-2</c:v>
                </c:pt>
                <c:pt idx="57">
                  <c:v>5.5192666621473881E-2</c:v>
                </c:pt>
                <c:pt idx="58">
                  <c:v>5.5193283989612381E-2</c:v>
                </c:pt>
                <c:pt idx="59">
                  <c:v>5.5193082723779617E-2</c:v>
                </c:pt>
                <c:pt idx="60">
                  <c:v>5.5184943865786054E-2</c:v>
                </c:pt>
                <c:pt idx="61">
                  <c:v>5.517405591235082E-2</c:v>
                </c:pt>
                <c:pt idx="62">
                  <c:v>5.5141019805269309E-2</c:v>
                </c:pt>
                <c:pt idx="63">
                  <c:v>5.5168471498507697E-2</c:v>
                </c:pt>
                <c:pt idx="64">
                  <c:v>5.5176279116139114E-2</c:v>
                </c:pt>
                <c:pt idx="65">
                  <c:v>5.5158673385839234E-2</c:v>
                </c:pt>
                <c:pt idx="66">
                  <c:v>5.5145399432905515E-2</c:v>
                </c:pt>
                <c:pt idx="67">
                  <c:v>5.5148770188964635E-2</c:v>
                </c:pt>
                <c:pt idx="68">
                  <c:v>5.5148379413908412E-2</c:v>
                </c:pt>
                <c:pt idx="69">
                  <c:v>5.5147294223480157E-2</c:v>
                </c:pt>
                <c:pt idx="70">
                  <c:v>5.5138530796707941E-2</c:v>
                </c:pt>
                <c:pt idx="71">
                  <c:v>5.5130428906905636E-2</c:v>
                </c:pt>
                <c:pt idx="72">
                  <c:v>5.513202748895172E-2</c:v>
                </c:pt>
                <c:pt idx="73">
                  <c:v>5.5132274199976669E-2</c:v>
                </c:pt>
                <c:pt idx="74">
                  <c:v>5.5139105526143803E-2</c:v>
                </c:pt>
                <c:pt idx="75">
                  <c:v>5.5110712946046775E-2</c:v>
                </c:pt>
                <c:pt idx="76">
                  <c:v>5.5102795052229578E-2</c:v>
                </c:pt>
                <c:pt idx="77">
                  <c:v>5.5094096821586877E-2</c:v>
                </c:pt>
                <c:pt idx="78">
                  <c:v>5.5090747475634617E-2</c:v>
                </c:pt>
                <c:pt idx="79">
                  <c:v>5.508306735574315E-2</c:v>
                </c:pt>
                <c:pt idx="80">
                  <c:v>5.5083390436489035E-2</c:v>
                </c:pt>
                <c:pt idx="81">
                  <c:v>5.5085652441802871E-2</c:v>
                </c:pt>
                <c:pt idx="82">
                  <c:v>5.5050677225965391E-2</c:v>
                </c:pt>
                <c:pt idx="83">
                  <c:v>5.5066027487531422E-2</c:v>
                </c:pt>
                <c:pt idx="84">
                  <c:v>5.5056096440148181E-2</c:v>
                </c:pt>
                <c:pt idx="85">
                  <c:v>5.5040148764220552E-2</c:v>
                </c:pt>
                <c:pt idx="86">
                  <c:v>5.5049634627044583E-2</c:v>
                </c:pt>
                <c:pt idx="87">
                  <c:v>5.5061628131564851E-2</c:v>
                </c:pt>
                <c:pt idx="88">
                  <c:v>5.5039477244072092E-2</c:v>
                </c:pt>
                <c:pt idx="89">
                  <c:v>5.504819419058616E-2</c:v>
                </c:pt>
                <c:pt idx="90">
                  <c:v>5.5062838691224171E-2</c:v>
                </c:pt>
                <c:pt idx="91">
                  <c:v>5.5069758418727327E-2</c:v>
                </c:pt>
                <c:pt idx="92">
                  <c:v>5.5059716782638199E-2</c:v>
                </c:pt>
                <c:pt idx="93">
                  <c:v>5.5067139648911495E-2</c:v>
                </c:pt>
                <c:pt idx="94">
                  <c:v>5.5071353673074037E-2</c:v>
                </c:pt>
                <c:pt idx="95">
                  <c:v>5.5093861740682884E-2</c:v>
                </c:pt>
                <c:pt idx="96">
                  <c:v>5.5114370174022639E-2</c:v>
                </c:pt>
                <c:pt idx="97">
                  <c:v>5.5133295840080733E-2</c:v>
                </c:pt>
                <c:pt idx="98">
                  <c:v>5.5156285415277291E-2</c:v>
                </c:pt>
                <c:pt idx="99">
                  <c:v>5.5146365275698286E-2</c:v>
                </c:pt>
                <c:pt idx="100">
                  <c:v>5.5155884076421961E-2</c:v>
                </c:pt>
                <c:pt idx="101">
                  <c:v>5.5162610319457815E-2</c:v>
                </c:pt>
                <c:pt idx="102">
                  <c:v>5.5154959303813651E-2</c:v>
                </c:pt>
                <c:pt idx="103">
                  <c:v>5.5157672511459477E-2</c:v>
                </c:pt>
                <c:pt idx="104">
                  <c:v>5.5172512985679253E-2</c:v>
                </c:pt>
                <c:pt idx="105">
                  <c:v>5.5175539070584818E-2</c:v>
                </c:pt>
                <c:pt idx="106">
                  <c:v>5.5167929678361712E-2</c:v>
                </c:pt>
                <c:pt idx="107">
                  <c:v>5.5169759391732597E-2</c:v>
                </c:pt>
                <c:pt idx="108">
                  <c:v>5.5166182148225475E-2</c:v>
                </c:pt>
                <c:pt idx="109">
                  <c:v>5.517895488196467E-2</c:v>
                </c:pt>
                <c:pt idx="110">
                  <c:v>5.5183962627451177E-2</c:v>
                </c:pt>
                <c:pt idx="111">
                  <c:v>5.5198521621372114E-2</c:v>
                </c:pt>
                <c:pt idx="112">
                  <c:v>5.5205141204210946E-2</c:v>
                </c:pt>
                <c:pt idx="113">
                  <c:v>5.5200046657937929E-2</c:v>
                </c:pt>
                <c:pt idx="114">
                  <c:v>5.5203295403232301E-2</c:v>
                </c:pt>
                <c:pt idx="115">
                  <c:v>5.5191700578159836E-2</c:v>
                </c:pt>
                <c:pt idx="116">
                  <c:v>5.518972740678333E-2</c:v>
                </c:pt>
                <c:pt idx="117">
                  <c:v>5.5165993291253212E-2</c:v>
                </c:pt>
                <c:pt idx="118">
                  <c:v>5.51677486777905E-2</c:v>
                </c:pt>
                <c:pt idx="119">
                  <c:v>5.518044010225117E-2</c:v>
                </c:pt>
                <c:pt idx="120">
                  <c:v>5.5184467092882959E-2</c:v>
                </c:pt>
                <c:pt idx="121">
                  <c:v>5.5183047190799646E-2</c:v>
                </c:pt>
                <c:pt idx="122">
                  <c:v>5.519595517486435E-2</c:v>
                </c:pt>
                <c:pt idx="123">
                  <c:v>5.519980784149417E-2</c:v>
                </c:pt>
                <c:pt idx="124">
                  <c:v>5.5204762379016482E-2</c:v>
                </c:pt>
                <c:pt idx="125">
                  <c:v>5.5198803278434523E-2</c:v>
                </c:pt>
                <c:pt idx="126">
                  <c:v>5.5200400274135211E-2</c:v>
                </c:pt>
                <c:pt idx="127">
                  <c:v>5.5204808458158866E-2</c:v>
                </c:pt>
                <c:pt idx="128">
                  <c:v>5.519745073485504E-2</c:v>
                </c:pt>
                <c:pt idx="129">
                  <c:v>5.5214022372159326E-2</c:v>
                </c:pt>
                <c:pt idx="130">
                  <c:v>5.5221916422630822E-2</c:v>
                </c:pt>
                <c:pt idx="131">
                  <c:v>5.5225264356262321E-2</c:v>
                </c:pt>
                <c:pt idx="132">
                  <c:v>5.5211873955170111E-2</c:v>
                </c:pt>
                <c:pt idx="133">
                  <c:v>5.5210113924775421E-2</c:v>
                </c:pt>
                <c:pt idx="134">
                  <c:v>5.5191412772345544E-2</c:v>
                </c:pt>
                <c:pt idx="135">
                  <c:v>5.5185043834178771E-2</c:v>
                </c:pt>
                <c:pt idx="136">
                  <c:v>5.5190832448380016E-2</c:v>
                </c:pt>
                <c:pt idx="137">
                  <c:v>5.5190654052439884E-2</c:v>
                </c:pt>
                <c:pt idx="138">
                  <c:v>5.5185810585098062E-2</c:v>
                </c:pt>
                <c:pt idx="139">
                  <c:v>5.5193658605166764E-2</c:v>
                </c:pt>
                <c:pt idx="140">
                  <c:v>5.5189787050106943E-2</c:v>
                </c:pt>
                <c:pt idx="141">
                  <c:v>5.5193396176029225E-2</c:v>
                </c:pt>
                <c:pt idx="142">
                  <c:v>5.5186380091485708E-2</c:v>
                </c:pt>
                <c:pt idx="143">
                  <c:v>5.5206032514597631E-2</c:v>
                </c:pt>
                <c:pt idx="144">
                  <c:v>5.5221456465873939E-2</c:v>
                </c:pt>
                <c:pt idx="145">
                  <c:v>5.5220202842963605E-2</c:v>
                </c:pt>
                <c:pt idx="146">
                  <c:v>5.5215220551997991E-2</c:v>
                </c:pt>
                <c:pt idx="147">
                  <c:v>5.521615177060827E-2</c:v>
                </c:pt>
                <c:pt idx="148">
                  <c:v>5.5216028644521714E-2</c:v>
                </c:pt>
                <c:pt idx="149">
                  <c:v>5.5218156827546494E-2</c:v>
                </c:pt>
                <c:pt idx="150">
                  <c:v>5.5217719011113747E-2</c:v>
                </c:pt>
                <c:pt idx="151">
                  <c:v>5.5211460977839792E-2</c:v>
                </c:pt>
                <c:pt idx="152">
                  <c:v>5.5219499052881496E-2</c:v>
                </c:pt>
                <c:pt idx="153">
                  <c:v>5.5223453535711196E-2</c:v>
                </c:pt>
                <c:pt idx="154">
                  <c:v>5.5220100471575377E-2</c:v>
                </c:pt>
                <c:pt idx="155">
                  <c:v>5.5213294093390354E-2</c:v>
                </c:pt>
                <c:pt idx="156">
                  <c:v>5.5215525287132618E-2</c:v>
                </c:pt>
                <c:pt idx="157">
                  <c:v>5.5225288635460126E-2</c:v>
                </c:pt>
                <c:pt idx="158">
                  <c:v>5.5223989515974285E-2</c:v>
                </c:pt>
                <c:pt idx="159">
                  <c:v>5.5218667302710606E-2</c:v>
                </c:pt>
                <c:pt idx="160">
                  <c:v>5.522586060848899E-2</c:v>
                </c:pt>
                <c:pt idx="161">
                  <c:v>5.5232454432441014E-2</c:v>
                </c:pt>
                <c:pt idx="162">
                  <c:v>5.5232285998272436E-2</c:v>
                </c:pt>
                <c:pt idx="163">
                  <c:v>5.5216127535406084E-2</c:v>
                </c:pt>
                <c:pt idx="164">
                  <c:v>5.5224653622623111E-2</c:v>
                </c:pt>
                <c:pt idx="165">
                  <c:v>5.5226754435908312E-2</c:v>
                </c:pt>
                <c:pt idx="166">
                  <c:v>5.5242818262117348E-2</c:v>
                </c:pt>
                <c:pt idx="167">
                  <c:v>5.5247641655808588E-2</c:v>
                </c:pt>
                <c:pt idx="168">
                  <c:v>5.5240245224249765E-2</c:v>
                </c:pt>
                <c:pt idx="169">
                  <c:v>5.5236991476722182E-2</c:v>
                </c:pt>
                <c:pt idx="170">
                  <c:v>5.5249838414026628E-2</c:v>
                </c:pt>
                <c:pt idx="171">
                  <c:v>5.5242903552082931E-2</c:v>
                </c:pt>
                <c:pt idx="172">
                  <c:v>5.5233026490334278E-2</c:v>
                </c:pt>
                <c:pt idx="173">
                  <c:v>5.5261638788751719E-2</c:v>
                </c:pt>
                <c:pt idx="174">
                  <c:v>5.5247595856675963E-2</c:v>
                </c:pt>
                <c:pt idx="175">
                  <c:v>5.5230322055082756E-2</c:v>
                </c:pt>
                <c:pt idx="176">
                  <c:v>5.5240447763669945E-2</c:v>
                </c:pt>
                <c:pt idx="177">
                  <c:v>5.5238969506631E-2</c:v>
                </c:pt>
                <c:pt idx="178">
                  <c:v>5.5244489682181618E-2</c:v>
                </c:pt>
                <c:pt idx="179">
                  <c:v>5.5255968044356903E-2</c:v>
                </c:pt>
                <c:pt idx="180">
                  <c:v>5.5254180432876318E-2</c:v>
                </c:pt>
                <c:pt idx="181">
                  <c:v>5.5233411313231992E-2</c:v>
                </c:pt>
                <c:pt idx="182">
                  <c:v>5.5236479625677792E-2</c:v>
                </c:pt>
                <c:pt idx="183">
                  <c:v>5.5233010930097318E-2</c:v>
                </c:pt>
                <c:pt idx="184">
                  <c:v>5.5232754477636946E-2</c:v>
                </c:pt>
                <c:pt idx="185">
                  <c:v>5.5225700586406232E-2</c:v>
                </c:pt>
                <c:pt idx="186">
                  <c:v>5.5215770574407012E-2</c:v>
                </c:pt>
                <c:pt idx="187">
                  <c:v>5.5198546770844979E-2</c:v>
                </c:pt>
                <c:pt idx="188">
                  <c:v>5.5208836938156848E-2</c:v>
                </c:pt>
                <c:pt idx="189">
                  <c:v>5.5194617628558977E-2</c:v>
                </c:pt>
                <c:pt idx="190">
                  <c:v>5.5213438833643096E-2</c:v>
                </c:pt>
                <c:pt idx="191">
                  <c:v>5.5229740049126029E-2</c:v>
                </c:pt>
                <c:pt idx="192">
                  <c:v>5.5233519342015341E-2</c:v>
                </c:pt>
                <c:pt idx="193">
                  <c:v>5.5232438780967959E-2</c:v>
                </c:pt>
                <c:pt idx="194">
                  <c:v>5.5235328797584096E-2</c:v>
                </c:pt>
                <c:pt idx="195">
                  <c:v>5.5220202697872145E-2</c:v>
                </c:pt>
                <c:pt idx="196">
                  <c:v>5.521758411702906E-2</c:v>
                </c:pt>
                <c:pt idx="197">
                  <c:v>5.5229056685861054E-2</c:v>
                </c:pt>
                <c:pt idx="198">
                  <c:v>5.5243928736406538E-2</c:v>
                </c:pt>
                <c:pt idx="199">
                  <c:v>5.5238768366267128E-2</c:v>
                </c:pt>
                <c:pt idx="200">
                  <c:v>5.5238151233481622E-2</c:v>
                </c:pt>
                <c:pt idx="201">
                  <c:v>5.5239058374605361E-2</c:v>
                </c:pt>
                <c:pt idx="202">
                  <c:v>5.5244671928479185E-2</c:v>
                </c:pt>
                <c:pt idx="203">
                  <c:v>5.5253792763770591E-2</c:v>
                </c:pt>
                <c:pt idx="204">
                  <c:v>5.5243822288234413E-2</c:v>
                </c:pt>
                <c:pt idx="205">
                  <c:v>5.5238940422494276E-2</c:v>
                </c:pt>
                <c:pt idx="206">
                  <c:v>5.5247875524170528E-2</c:v>
                </c:pt>
                <c:pt idx="207">
                  <c:v>5.5260414100237007E-2</c:v>
                </c:pt>
                <c:pt idx="208">
                  <c:v>5.5256826234191682E-2</c:v>
                </c:pt>
                <c:pt idx="209">
                  <c:v>5.5263385627833742E-2</c:v>
                </c:pt>
                <c:pt idx="210">
                  <c:v>5.5271438216886494E-2</c:v>
                </c:pt>
                <c:pt idx="211">
                  <c:v>5.5262492532171803E-2</c:v>
                </c:pt>
                <c:pt idx="212">
                  <c:v>5.5259938511064685E-2</c:v>
                </c:pt>
                <c:pt idx="213">
                  <c:v>5.5239561726950805E-2</c:v>
                </c:pt>
                <c:pt idx="214">
                  <c:v>5.5240992626222861E-2</c:v>
                </c:pt>
                <c:pt idx="215">
                  <c:v>5.5238129230750034E-2</c:v>
                </c:pt>
                <c:pt idx="216">
                  <c:v>5.5237632928593183E-2</c:v>
                </c:pt>
                <c:pt idx="217">
                  <c:v>5.5260558304815091E-2</c:v>
                </c:pt>
                <c:pt idx="218">
                  <c:v>5.5266181815974209E-2</c:v>
                </c:pt>
                <c:pt idx="219">
                  <c:v>5.5289866183188173E-2</c:v>
                </c:pt>
                <c:pt idx="220">
                  <c:v>5.5298616093177412E-2</c:v>
                </c:pt>
                <c:pt idx="221">
                  <c:v>5.5298060412260833E-2</c:v>
                </c:pt>
                <c:pt idx="222">
                  <c:v>5.5322856159676997E-2</c:v>
                </c:pt>
                <c:pt idx="223">
                  <c:v>5.5336399010461432E-2</c:v>
                </c:pt>
                <c:pt idx="224">
                  <c:v>5.5336991736710112E-2</c:v>
                </c:pt>
                <c:pt idx="225">
                  <c:v>5.5326445744229763E-2</c:v>
                </c:pt>
                <c:pt idx="226">
                  <c:v>5.5336759927151667E-2</c:v>
                </c:pt>
                <c:pt idx="227">
                  <c:v>5.5309734025296334E-2</c:v>
                </c:pt>
                <c:pt idx="228">
                  <c:v>5.5311327350131279E-2</c:v>
                </c:pt>
                <c:pt idx="229">
                  <c:v>5.5316389049704789E-2</c:v>
                </c:pt>
                <c:pt idx="230">
                  <c:v>5.5319415956416887E-2</c:v>
                </c:pt>
                <c:pt idx="231">
                  <c:v>5.5327562914157649E-2</c:v>
                </c:pt>
                <c:pt idx="232">
                  <c:v>5.53156753414389E-2</c:v>
                </c:pt>
                <c:pt idx="233">
                  <c:v>5.5317449268428825E-2</c:v>
                </c:pt>
                <c:pt idx="234">
                  <c:v>5.5300481253617993E-2</c:v>
                </c:pt>
                <c:pt idx="235">
                  <c:v>5.5317219557559194E-2</c:v>
                </c:pt>
                <c:pt idx="236">
                  <c:v>5.531426371682676E-2</c:v>
                </c:pt>
                <c:pt idx="237">
                  <c:v>5.533106388232812E-2</c:v>
                </c:pt>
                <c:pt idx="238">
                  <c:v>5.5353741046551191E-2</c:v>
                </c:pt>
                <c:pt idx="239">
                  <c:v>5.535046072672898E-2</c:v>
                </c:pt>
                <c:pt idx="240">
                  <c:v>5.5337112065288803E-2</c:v>
                </c:pt>
                <c:pt idx="241">
                  <c:v>5.5330648253444581E-2</c:v>
                </c:pt>
                <c:pt idx="242">
                  <c:v>5.5329368211130332E-2</c:v>
                </c:pt>
                <c:pt idx="243">
                  <c:v>5.5318808781617913E-2</c:v>
                </c:pt>
                <c:pt idx="244">
                  <c:v>5.5322212690807705E-2</c:v>
                </c:pt>
                <c:pt idx="245">
                  <c:v>5.5326604874901666E-2</c:v>
                </c:pt>
                <c:pt idx="246">
                  <c:v>5.5341151271060519E-2</c:v>
                </c:pt>
                <c:pt idx="247">
                  <c:v>5.5360042151046444E-2</c:v>
                </c:pt>
                <c:pt idx="248">
                  <c:v>5.5349451400916204E-2</c:v>
                </c:pt>
                <c:pt idx="249">
                  <c:v>5.5360076437740213E-2</c:v>
                </c:pt>
                <c:pt idx="250">
                  <c:v>5.5359912431437036E-2</c:v>
                </c:pt>
                <c:pt idx="251">
                  <c:v>5.5355789404633163E-2</c:v>
                </c:pt>
                <c:pt idx="252">
                  <c:v>5.535946747805244E-2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56-3F41-A367-84E74741A2A2}"/>
            </c:ext>
          </c:extLst>
        </c:ser>
        <c:ser>
          <c:idx val="5"/>
          <c:order val="5"/>
          <c:tx>
            <c:strRef>
              <c:f>'Vasicek Simulation (MLE)'!$J$1</c:f>
              <c:strCache>
                <c:ptCount val="1"/>
                <c:pt idx="0">
                  <c:v>Sims 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(MLE)'!$J$2:$J$254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5.5211843066555889E-2</c:v>
                </c:pt>
                <c:pt idx="2">
                  <c:v>5.5198425068433421E-2</c:v>
                </c:pt>
                <c:pt idx="3">
                  <c:v>5.5201512805302624E-2</c:v>
                </c:pt>
                <c:pt idx="4">
                  <c:v>5.5187605552135414E-2</c:v>
                </c:pt>
                <c:pt idx="5">
                  <c:v>5.5166731775412078E-2</c:v>
                </c:pt>
                <c:pt idx="6">
                  <c:v>5.5165056042032638E-2</c:v>
                </c:pt>
                <c:pt idx="7">
                  <c:v>5.5159323771443114E-2</c:v>
                </c:pt>
                <c:pt idx="8">
                  <c:v>5.5150261394966947E-2</c:v>
                </c:pt>
                <c:pt idx="9">
                  <c:v>5.5143958323752539E-2</c:v>
                </c:pt>
                <c:pt idx="10">
                  <c:v>5.5164757114716953E-2</c:v>
                </c:pt>
                <c:pt idx="11">
                  <c:v>5.5166827871327109E-2</c:v>
                </c:pt>
                <c:pt idx="12">
                  <c:v>5.5173551531839352E-2</c:v>
                </c:pt>
                <c:pt idx="13">
                  <c:v>5.5153296650020216E-2</c:v>
                </c:pt>
                <c:pt idx="14">
                  <c:v>5.5170814318383735E-2</c:v>
                </c:pt>
                <c:pt idx="15">
                  <c:v>5.516284581968374E-2</c:v>
                </c:pt>
                <c:pt idx="16">
                  <c:v>5.515149482100147E-2</c:v>
                </c:pt>
                <c:pt idx="17">
                  <c:v>5.5169695411052586E-2</c:v>
                </c:pt>
                <c:pt idx="18">
                  <c:v>5.5171750739519521E-2</c:v>
                </c:pt>
                <c:pt idx="19">
                  <c:v>5.5160085433910148E-2</c:v>
                </c:pt>
                <c:pt idx="20">
                  <c:v>5.5150524325034742E-2</c:v>
                </c:pt>
                <c:pt idx="21">
                  <c:v>5.5161708949285529E-2</c:v>
                </c:pt>
                <c:pt idx="22">
                  <c:v>5.515927126013731E-2</c:v>
                </c:pt>
                <c:pt idx="23">
                  <c:v>5.5146905505790662E-2</c:v>
                </c:pt>
                <c:pt idx="24">
                  <c:v>5.5141284062571169E-2</c:v>
                </c:pt>
                <c:pt idx="25">
                  <c:v>5.5141965077240965E-2</c:v>
                </c:pt>
                <c:pt idx="26">
                  <c:v>5.5145355427464328E-2</c:v>
                </c:pt>
                <c:pt idx="27">
                  <c:v>5.5157189038353524E-2</c:v>
                </c:pt>
                <c:pt idx="28">
                  <c:v>5.5156656803211884E-2</c:v>
                </c:pt>
                <c:pt idx="29">
                  <c:v>5.5155588951578779E-2</c:v>
                </c:pt>
                <c:pt idx="30">
                  <c:v>5.5162790832024869E-2</c:v>
                </c:pt>
                <c:pt idx="31">
                  <c:v>5.5160361547329811E-2</c:v>
                </c:pt>
                <c:pt idx="32">
                  <c:v>5.5158226518166951E-2</c:v>
                </c:pt>
                <c:pt idx="33">
                  <c:v>5.5164786759605948E-2</c:v>
                </c:pt>
                <c:pt idx="34">
                  <c:v>5.5162652946552829E-2</c:v>
                </c:pt>
                <c:pt idx="35">
                  <c:v>5.5168600153812364E-2</c:v>
                </c:pt>
                <c:pt idx="36">
                  <c:v>5.5150857600631209E-2</c:v>
                </c:pt>
                <c:pt idx="37">
                  <c:v>5.5138361750316847E-2</c:v>
                </c:pt>
                <c:pt idx="38">
                  <c:v>5.5125407332988145E-2</c:v>
                </c:pt>
                <c:pt idx="39">
                  <c:v>5.5129608498593954E-2</c:v>
                </c:pt>
                <c:pt idx="40">
                  <c:v>5.5137628601999542E-2</c:v>
                </c:pt>
                <c:pt idx="41">
                  <c:v>5.5118981276247439E-2</c:v>
                </c:pt>
                <c:pt idx="42">
                  <c:v>5.5110815103811051E-2</c:v>
                </c:pt>
                <c:pt idx="43">
                  <c:v>5.5107437312736894E-2</c:v>
                </c:pt>
                <c:pt idx="44">
                  <c:v>5.509685267496045E-2</c:v>
                </c:pt>
                <c:pt idx="45">
                  <c:v>5.5121356041113283E-2</c:v>
                </c:pt>
                <c:pt idx="46">
                  <c:v>5.5123564418024747E-2</c:v>
                </c:pt>
                <c:pt idx="47">
                  <c:v>5.5118148416474701E-2</c:v>
                </c:pt>
                <c:pt idx="48">
                  <c:v>5.5138751269619132E-2</c:v>
                </c:pt>
                <c:pt idx="49">
                  <c:v>5.5159279236932354E-2</c:v>
                </c:pt>
                <c:pt idx="50">
                  <c:v>5.5151510336869027E-2</c:v>
                </c:pt>
                <c:pt idx="51">
                  <c:v>5.51339186741635E-2</c:v>
                </c:pt>
                <c:pt idx="52">
                  <c:v>5.5139817996502312E-2</c:v>
                </c:pt>
                <c:pt idx="53">
                  <c:v>5.5140851120409902E-2</c:v>
                </c:pt>
                <c:pt idx="54">
                  <c:v>5.514254158784497E-2</c:v>
                </c:pt>
                <c:pt idx="55">
                  <c:v>5.5128951669156503E-2</c:v>
                </c:pt>
                <c:pt idx="56">
                  <c:v>5.5139701550609869E-2</c:v>
                </c:pt>
                <c:pt idx="57">
                  <c:v>5.5134675180111906E-2</c:v>
                </c:pt>
                <c:pt idx="58">
                  <c:v>5.5138699826856791E-2</c:v>
                </c:pt>
                <c:pt idx="59">
                  <c:v>5.5131517032648521E-2</c:v>
                </c:pt>
                <c:pt idx="60">
                  <c:v>5.5129537984320222E-2</c:v>
                </c:pt>
                <c:pt idx="61">
                  <c:v>5.5130303383735466E-2</c:v>
                </c:pt>
                <c:pt idx="62">
                  <c:v>5.5118913604614225E-2</c:v>
                </c:pt>
                <c:pt idx="63">
                  <c:v>5.5116459068219888E-2</c:v>
                </c:pt>
                <c:pt idx="64">
                  <c:v>5.5110827945122759E-2</c:v>
                </c:pt>
                <c:pt idx="65">
                  <c:v>5.512178193307446E-2</c:v>
                </c:pt>
                <c:pt idx="66">
                  <c:v>5.510536216944726E-2</c:v>
                </c:pt>
                <c:pt idx="67">
                  <c:v>5.5092185110402959E-2</c:v>
                </c:pt>
                <c:pt idx="68">
                  <c:v>5.5091990597280316E-2</c:v>
                </c:pt>
                <c:pt idx="69">
                  <c:v>5.5086951685565537E-2</c:v>
                </c:pt>
                <c:pt idx="70">
                  <c:v>5.5079493317522675E-2</c:v>
                </c:pt>
                <c:pt idx="71">
                  <c:v>5.5072993036643522E-2</c:v>
                </c:pt>
                <c:pt idx="72">
                  <c:v>5.5080757055759592E-2</c:v>
                </c:pt>
                <c:pt idx="73">
                  <c:v>5.5074136596896119E-2</c:v>
                </c:pt>
                <c:pt idx="74">
                  <c:v>5.5090565364654377E-2</c:v>
                </c:pt>
                <c:pt idx="75">
                  <c:v>5.5103003832585554E-2</c:v>
                </c:pt>
                <c:pt idx="76">
                  <c:v>5.5119596798962472E-2</c:v>
                </c:pt>
                <c:pt idx="77">
                  <c:v>5.511325834161155E-2</c:v>
                </c:pt>
                <c:pt idx="78">
                  <c:v>5.5099947088170967E-2</c:v>
                </c:pt>
                <c:pt idx="79">
                  <c:v>5.5099249115287609E-2</c:v>
                </c:pt>
                <c:pt idx="80">
                  <c:v>5.5109466365383927E-2</c:v>
                </c:pt>
                <c:pt idx="81">
                  <c:v>5.5127305311372637E-2</c:v>
                </c:pt>
                <c:pt idx="82">
                  <c:v>5.5131323759634539E-2</c:v>
                </c:pt>
                <c:pt idx="83">
                  <c:v>5.511855356451114E-2</c:v>
                </c:pt>
                <c:pt idx="84">
                  <c:v>5.5119420454532976E-2</c:v>
                </c:pt>
                <c:pt idx="85">
                  <c:v>5.5128096373934288E-2</c:v>
                </c:pt>
                <c:pt idx="86">
                  <c:v>5.5137760883057975E-2</c:v>
                </c:pt>
                <c:pt idx="87">
                  <c:v>5.5150428091469021E-2</c:v>
                </c:pt>
                <c:pt idx="88">
                  <c:v>5.5144431866320662E-2</c:v>
                </c:pt>
                <c:pt idx="89">
                  <c:v>5.5181024667919604E-2</c:v>
                </c:pt>
                <c:pt idx="90">
                  <c:v>5.517357414030976E-2</c:v>
                </c:pt>
                <c:pt idx="91">
                  <c:v>5.5167496107117325E-2</c:v>
                </c:pt>
                <c:pt idx="92">
                  <c:v>5.5138875007562038E-2</c:v>
                </c:pt>
                <c:pt idx="93">
                  <c:v>5.5135176874474931E-2</c:v>
                </c:pt>
                <c:pt idx="94">
                  <c:v>5.5154931315203735E-2</c:v>
                </c:pt>
                <c:pt idx="95">
                  <c:v>5.5150990989054599E-2</c:v>
                </c:pt>
                <c:pt idx="96">
                  <c:v>5.5173767597690875E-2</c:v>
                </c:pt>
                <c:pt idx="97">
                  <c:v>5.5175142664268158E-2</c:v>
                </c:pt>
                <c:pt idx="98">
                  <c:v>5.516428830999151E-2</c:v>
                </c:pt>
                <c:pt idx="99">
                  <c:v>5.5160091002281413E-2</c:v>
                </c:pt>
                <c:pt idx="100">
                  <c:v>5.5152539111842237E-2</c:v>
                </c:pt>
                <c:pt idx="101">
                  <c:v>5.5159396143968593E-2</c:v>
                </c:pt>
                <c:pt idx="102">
                  <c:v>5.5152563640657272E-2</c:v>
                </c:pt>
                <c:pt idx="103">
                  <c:v>5.5156808523419282E-2</c:v>
                </c:pt>
                <c:pt idx="104">
                  <c:v>5.5159549181773508E-2</c:v>
                </c:pt>
                <c:pt idx="105">
                  <c:v>5.5177930304911513E-2</c:v>
                </c:pt>
                <c:pt idx="106">
                  <c:v>5.5191043565882766E-2</c:v>
                </c:pt>
                <c:pt idx="107">
                  <c:v>5.5191416249808722E-2</c:v>
                </c:pt>
                <c:pt idx="108">
                  <c:v>5.5195400027448452E-2</c:v>
                </c:pt>
                <c:pt idx="109">
                  <c:v>5.5218971795199301E-2</c:v>
                </c:pt>
                <c:pt idx="110">
                  <c:v>5.5221555689988322E-2</c:v>
                </c:pt>
                <c:pt idx="111">
                  <c:v>5.5229069345736036E-2</c:v>
                </c:pt>
                <c:pt idx="112">
                  <c:v>5.5224267098640638E-2</c:v>
                </c:pt>
                <c:pt idx="113">
                  <c:v>5.5223698383282449E-2</c:v>
                </c:pt>
                <c:pt idx="114">
                  <c:v>5.5228168985455045E-2</c:v>
                </c:pt>
                <c:pt idx="115">
                  <c:v>5.523325098039452E-2</c:v>
                </c:pt>
                <c:pt idx="116">
                  <c:v>5.5208053325375352E-2</c:v>
                </c:pt>
                <c:pt idx="117">
                  <c:v>5.5210322845698837E-2</c:v>
                </c:pt>
                <c:pt idx="118">
                  <c:v>5.5211568552411855E-2</c:v>
                </c:pt>
                <c:pt idx="119">
                  <c:v>5.5212357962549155E-2</c:v>
                </c:pt>
                <c:pt idx="120">
                  <c:v>5.5205743868060826E-2</c:v>
                </c:pt>
                <c:pt idx="121">
                  <c:v>5.521690320933198E-2</c:v>
                </c:pt>
                <c:pt idx="122">
                  <c:v>5.5237919282112365E-2</c:v>
                </c:pt>
                <c:pt idx="123">
                  <c:v>5.5236962437370633E-2</c:v>
                </c:pt>
                <c:pt idx="124">
                  <c:v>5.5233733285313613E-2</c:v>
                </c:pt>
                <c:pt idx="125">
                  <c:v>5.524934456147667E-2</c:v>
                </c:pt>
                <c:pt idx="126">
                  <c:v>5.5243081620542589E-2</c:v>
                </c:pt>
                <c:pt idx="127">
                  <c:v>5.5246905667799204E-2</c:v>
                </c:pt>
                <c:pt idx="128">
                  <c:v>5.5236390141716357E-2</c:v>
                </c:pt>
                <c:pt idx="129">
                  <c:v>5.5257750415123416E-2</c:v>
                </c:pt>
                <c:pt idx="130">
                  <c:v>5.5276967428814862E-2</c:v>
                </c:pt>
                <c:pt idx="131">
                  <c:v>5.5294141681372463E-2</c:v>
                </c:pt>
                <c:pt idx="132">
                  <c:v>5.5301160877428687E-2</c:v>
                </c:pt>
                <c:pt idx="133">
                  <c:v>5.5296806693945356E-2</c:v>
                </c:pt>
                <c:pt idx="134">
                  <c:v>5.5317911045287833E-2</c:v>
                </c:pt>
                <c:pt idx="135">
                  <c:v>5.5300012096129933E-2</c:v>
                </c:pt>
                <c:pt idx="136">
                  <c:v>5.5299500474682899E-2</c:v>
                </c:pt>
                <c:pt idx="137">
                  <c:v>5.5294860025380962E-2</c:v>
                </c:pt>
                <c:pt idx="138">
                  <c:v>5.5294288435707856E-2</c:v>
                </c:pt>
                <c:pt idx="139">
                  <c:v>5.5303409012207344E-2</c:v>
                </c:pt>
                <c:pt idx="140">
                  <c:v>5.5300445165932667E-2</c:v>
                </c:pt>
                <c:pt idx="141">
                  <c:v>5.5313410438158399E-2</c:v>
                </c:pt>
                <c:pt idx="142">
                  <c:v>5.5324590874640756E-2</c:v>
                </c:pt>
                <c:pt idx="143">
                  <c:v>5.5297835834060213E-2</c:v>
                </c:pt>
                <c:pt idx="144">
                  <c:v>5.5300853282220647E-2</c:v>
                </c:pt>
                <c:pt idx="145">
                  <c:v>5.5292656641995674E-2</c:v>
                </c:pt>
                <c:pt idx="146">
                  <c:v>5.5293643610364186E-2</c:v>
                </c:pt>
                <c:pt idx="147">
                  <c:v>5.5287714010328413E-2</c:v>
                </c:pt>
                <c:pt idx="148">
                  <c:v>5.5284068337942152E-2</c:v>
                </c:pt>
                <c:pt idx="149">
                  <c:v>5.5287468505760183E-2</c:v>
                </c:pt>
                <c:pt idx="150">
                  <c:v>5.5279755917639707E-2</c:v>
                </c:pt>
                <c:pt idx="151">
                  <c:v>5.5279359075352523E-2</c:v>
                </c:pt>
                <c:pt idx="152">
                  <c:v>5.5281052193699512E-2</c:v>
                </c:pt>
                <c:pt idx="153">
                  <c:v>5.526672521690873E-2</c:v>
                </c:pt>
                <c:pt idx="154">
                  <c:v>5.5275814443055384E-2</c:v>
                </c:pt>
                <c:pt idx="155">
                  <c:v>5.5269660021762548E-2</c:v>
                </c:pt>
                <c:pt idx="156">
                  <c:v>5.526975077508349E-2</c:v>
                </c:pt>
                <c:pt idx="157">
                  <c:v>5.5253639931695006E-2</c:v>
                </c:pt>
                <c:pt idx="158">
                  <c:v>5.5240975261735548E-2</c:v>
                </c:pt>
                <c:pt idx="159">
                  <c:v>5.5247236630965466E-2</c:v>
                </c:pt>
                <c:pt idx="160">
                  <c:v>5.5249387370185102E-2</c:v>
                </c:pt>
                <c:pt idx="161">
                  <c:v>5.5253362605714451E-2</c:v>
                </c:pt>
                <c:pt idx="162">
                  <c:v>5.5254876900056211E-2</c:v>
                </c:pt>
                <c:pt idx="163">
                  <c:v>5.5247357959160116E-2</c:v>
                </c:pt>
                <c:pt idx="164">
                  <c:v>5.5239046104440755E-2</c:v>
                </c:pt>
                <c:pt idx="165">
                  <c:v>5.5243960285820896E-2</c:v>
                </c:pt>
                <c:pt idx="166">
                  <c:v>5.5261544977119006E-2</c:v>
                </c:pt>
                <c:pt idx="167">
                  <c:v>5.5276174456814875E-2</c:v>
                </c:pt>
                <c:pt idx="168">
                  <c:v>5.5297031448285648E-2</c:v>
                </c:pt>
                <c:pt idx="169">
                  <c:v>5.5305623624571712E-2</c:v>
                </c:pt>
                <c:pt idx="170">
                  <c:v>5.5311490029446554E-2</c:v>
                </c:pt>
                <c:pt idx="171">
                  <c:v>5.5326297977981879E-2</c:v>
                </c:pt>
                <c:pt idx="172">
                  <c:v>5.5324783041899687E-2</c:v>
                </c:pt>
                <c:pt idx="173">
                  <c:v>5.5346245184299266E-2</c:v>
                </c:pt>
                <c:pt idx="174">
                  <c:v>5.5341605842677673E-2</c:v>
                </c:pt>
                <c:pt idx="175">
                  <c:v>5.535330800772751E-2</c:v>
                </c:pt>
                <c:pt idx="176">
                  <c:v>5.5348428156701074E-2</c:v>
                </c:pt>
                <c:pt idx="177">
                  <c:v>5.5320911831036573E-2</c:v>
                </c:pt>
                <c:pt idx="178">
                  <c:v>5.5319789943045553E-2</c:v>
                </c:pt>
                <c:pt idx="179">
                  <c:v>5.5305463756459228E-2</c:v>
                </c:pt>
                <c:pt idx="180">
                  <c:v>5.5308614399353459E-2</c:v>
                </c:pt>
                <c:pt idx="181">
                  <c:v>5.5307172476232416E-2</c:v>
                </c:pt>
                <c:pt idx="182">
                  <c:v>5.5313896117097056E-2</c:v>
                </c:pt>
                <c:pt idx="183">
                  <c:v>5.530574421299099E-2</c:v>
                </c:pt>
                <c:pt idx="184">
                  <c:v>5.5297169486710707E-2</c:v>
                </c:pt>
                <c:pt idx="185">
                  <c:v>5.5304443716960999E-2</c:v>
                </c:pt>
                <c:pt idx="186">
                  <c:v>5.5308103566201409E-2</c:v>
                </c:pt>
                <c:pt idx="187">
                  <c:v>5.5317124325109129E-2</c:v>
                </c:pt>
                <c:pt idx="188">
                  <c:v>5.532455239361888E-2</c:v>
                </c:pt>
                <c:pt idx="189">
                  <c:v>5.5331614606609097E-2</c:v>
                </c:pt>
                <c:pt idx="190">
                  <c:v>5.5347888393043325E-2</c:v>
                </c:pt>
                <c:pt idx="191">
                  <c:v>5.534870384259942E-2</c:v>
                </c:pt>
                <c:pt idx="192">
                  <c:v>5.5348298124179969E-2</c:v>
                </c:pt>
                <c:pt idx="193">
                  <c:v>5.5359020618631953E-2</c:v>
                </c:pt>
                <c:pt idx="194">
                  <c:v>5.5380312077686053E-2</c:v>
                </c:pt>
                <c:pt idx="195">
                  <c:v>5.5353294565229874E-2</c:v>
                </c:pt>
                <c:pt idx="196">
                  <c:v>5.5339570676249922E-2</c:v>
                </c:pt>
                <c:pt idx="197">
                  <c:v>5.5322266917282863E-2</c:v>
                </c:pt>
                <c:pt idx="198">
                  <c:v>5.532503022659889E-2</c:v>
                </c:pt>
                <c:pt idx="199">
                  <c:v>5.5345146320678801E-2</c:v>
                </c:pt>
                <c:pt idx="200">
                  <c:v>5.5350174998997775E-2</c:v>
                </c:pt>
                <c:pt idx="201">
                  <c:v>5.5350106539335364E-2</c:v>
                </c:pt>
                <c:pt idx="202">
                  <c:v>5.5361186824634534E-2</c:v>
                </c:pt>
                <c:pt idx="203">
                  <c:v>5.534675351137415E-2</c:v>
                </c:pt>
                <c:pt idx="204">
                  <c:v>5.5357720564491043E-2</c:v>
                </c:pt>
                <c:pt idx="205">
                  <c:v>5.5358829934738965E-2</c:v>
                </c:pt>
                <c:pt idx="206">
                  <c:v>5.537664124208852E-2</c:v>
                </c:pt>
                <c:pt idx="207">
                  <c:v>5.5381982981115206E-2</c:v>
                </c:pt>
                <c:pt idx="208">
                  <c:v>5.5392963111011571E-2</c:v>
                </c:pt>
                <c:pt idx="209">
                  <c:v>5.5388520416584479E-2</c:v>
                </c:pt>
                <c:pt idx="210">
                  <c:v>5.5375814086273123E-2</c:v>
                </c:pt>
                <c:pt idx="211">
                  <c:v>5.538097449876761E-2</c:v>
                </c:pt>
                <c:pt idx="212">
                  <c:v>5.5368133456956369E-2</c:v>
                </c:pt>
                <c:pt idx="213">
                  <c:v>5.5384122594607635E-2</c:v>
                </c:pt>
                <c:pt idx="214">
                  <c:v>5.5403626535312736E-2</c:v>
                </c:pt>
                <c:pt idx="215">
                  <c:v>5.5400324516570461E-2</c:v>
                </c:pt>
                <c:pt idx="216">
                  <c:v>5.5396336893383941E-2</c:v>
                </c:pt>
                <c:pt idx="217">
                  <c:v>5.5399337729252339E-2</c:v>
                </c:pt>
                <c:pt idx="218">
                  <c:v>5.5389455402099351E-2</c:v>
                </c:pt>
                <c:pt idx="219">
                  <c:v>5.5391920123693747E-2</c:v>
                </c:pt>
                <c:pt idx="220">
                  <c:v>5.5427896909547837E-2</c:v>
                </c:pt>
                <c:pt idx="221">
                  <c:v>5.5443808787502484E-2</c:v>
                </c:pt>
                <c:pt idx="222">
                  <c:v>5.5462511993942885E-2</c:v>
                </c:pt>
                <c:pt idx="223">
                  <c:v>5.5468974525418324E-2</c:v>
                </c:pt>
                <c:pt idx="224">
                  <c:v>5.546224288935566E-2</c:v>
                </c:pt>
                <c:pt idx="225">
                  <c:v>5.5468689832565019E-2</c:v>
                </c:pt>
                <c:pt idx="226">
                  <c:v>5.5482836455790788E-2</c:v>
                </c:pt>
                <c:pt idx="227">
                  <c:v>5.5499645665158935E-2</c:v>
                </c:pt>
                <c:pt idx="228">
                  <c:v>5.5518535067458893E-2</c:v>
                </c:pt>
                <c:pt idx="229">
                  <c:v>5.5518567079470608E-2</c:v>
                </c:pt>
                <c:pt idx="230">
                  <c:v>5.5533859697758342E-2</c:v>
                </c:pt>
                <c:pt idx="231">
                  <c:v>5.5537846640806798E-2</c:v>
                </c:pt>
                <c:pt idx="232">
                  <c:v>5.5542028886480826E-2</c:v>
                </c:pt>
                <c:pt idx="233">
                  <c:v>5.5571322837844002E-2</c:v>
                </c:pt>
                <c:pt idx="234">
                  <c:v>5.5575561119511965E-2</c:v>
                </c:pt>
                <c:pt idx="235">
                  <c:v>5.5569566396253781E-2</c:v>
                </c:pt>
                <c:pt idx="236">
                  <c:v>5.5549136326843385E-2</c:v>
                </c:pt>
                <c:pt idx="237">
                  <c:v>5.5550338227600582E-2</c:v>
                </c:pt>
                <c:pt idx="238">
                  <c:v>5.555371249146198E-2</c:v>
                </c:pt>
                <c:pt idx="239">
                  <c:v>5.5569131875331586E-2</c:v>
                </c:pt>
                <c:pt idx="240">
                  <c:v>5.5584749353832098E-2</c:v>
                </c:pt>
                <c:pt idx="241">
                  <c:v>5.5573558110503497E-2</c:v>
                </c:pt>
                <c:pt idx="242">
                  <c:v>5.5568106547600221E-2</c:v>
                </c:pt>
                <c:pt idx="243">
                  <c:v>5.5574662081878869E-2</c:v>
                </c:pt>
                <c:pt idx="244">
                  <c:v>5.5585790841157168E-2</c:v>
                </c:pt>
                <c:pt idx="245">
                  <c:v>5.5584337923083288E-2</c:v>
                </c:pt>
                <c:pt idx="246">
                  <c:v>5.5597681601496036E-2</c:v>
                </c:pt>
                <c:pt idx="247">
                  <c:v>5.5578907288553005E-2</c:v>
                </c:pt>
                <c:pt idx="248">
                  <c:v>5.5558137106384332E-2</c:v>
                </c:pt>
                <c:pt idx="249">
                  <c:v>5.5544298471310032E-2</c:v>
                </c:pt>
                <c:pt idx="250">
                  <c:v>5.5531133182861063E-2</c:v>
                </c:pt>
                <c:pt idx="251">
                  <c:v>5.5541266559510569E-2</c:v>
                </c:pt>
                <c:pt idx="252">
                  <c:v>5.5555979981854429E-2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56-3F41-A367-84E74741A2A2}"/>
            </c:ext>
          </c:extLst>
        </c:ser>
        <c:ser>
          <c:idx val="6"/>
          <c:order val="6"/>
          <c:tx>
            <c:strRef>
              <c:f>'Vasicek Simulation (MLE)'!$K$1</c:f>
              <c:strCache>
                <c:ptCount val="1"/>
                <c:pt idx="0">
                  <c:v>Sims 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(MLE)'!$K$2:$K$254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5.5204852812550338E-2</c:v>
                </c:pt>
                <c:pt idx="2">
                  <c:v>5.5220174861103956E-2</c:v>
                </c:pt>
                <c:pt idx="3">
                  <c:v>5.5239523862501437E-2</c:v>
                </c:pt>
                <c:pt idx="4">
                  <c:v>5.5254680524113996E-2</c:v>
                </c:pt>
                <c:pt idx="5">
                  <c:v>5.5252964369265072E-2</c:v>
                </c:pt>
                <c:pt idx="6">
                  <c:v>5.5236080092991441E-2</c:v>
                </c:pt>
                <c:pt idx="7">
                  <c:v>5.5225387790556454E-2</c:v>
                </c:pt>
                <c:pt idx="8">
                  <c:v>5.5214243862707416E-2</c:v>
                </c:pt>
                <c:pt idx="9">
                  <c:v>5.5217615398107239E-2</c:v>
                </c:pt>
                <c:pt idx="10">
                  <c:v>5.5228201430873244E-2</c:v>
                </c:pt>
                <c:pt idx="11">
                  <c:v>5.5239947383684304E-2</c:v>
                </c:pt>
                <c:pt idx="12">
                  <c:v>5.5253540776974357E-2</c:v>
                </c:pt>
                <c:pt idx="13">
                  <c:v>5.5253641353948259E-2</c:v>
                </c:pt>
                <c:pt idx="14">
                  <c:v>5.5234448265394538E-2</c:v>
                </c:pt>
                <c:pt idx="15">
                  <c:v>5.5234220176452478E-2</c:v>
                </c:pt>
                <c:pt idx="16">
                  <c:v>5.5228755940218192E-2</c:v>
                </c:pt>
                <c:pt idx="17">
                  <c:v>5.5210247530205925E-2</c:v>
                </c:pt>
                <c:pt idx="18">
                  <c:v>5.5225855523980592E-2</c:v>
                </c:pt>
                <c:pt idx="19">
                  <c:v>5.522132430238158E-2</c:v>
                </c:pt>
                <c:pt idx="20">
                  <c:v>5.5212057177272456E-2</c:v>
                </c:pt>
                <c:pt idx="21">
                  <c:v>5.5203150449797019E-2</c:v>
                </c:pt>
                <c:pt idx="22">
                  <c:v>5.5217724756351554E-2</c:v>
                </c:pt>
                <c:pt idx="23">
                  <c:v>5.5237159088359584E-2</c:v>
                </c:pt>
                <c:pt idx="24">
                  <c:v>5.5246688332615423E-2</c:v>
                </c:pt>
                <c:pt idx="25">
                  <c:v>5.524070064971616E-2</c:v>
                </c:pt>
                <c:pt idx="26">
                  <c:v>5.5248410610262338E-2</c:v>
                </c:pt>
                <c:pt idx="27">
                  <c:v>5.525921069966986E-2</c:v>
                </c:pt>
                <c:pt idx="28">
                  <c:v>5.5265973244273917E-2</c:v>
                </c:pt>
                <c:pt idx="29">
                  <c:v>5.526896127570672E-2</c:v>
                </c:pt>
                <c:pt idx="30">
                  <c:v>5.5274598501170676E-2</c:v>
                </c:pt>
                <c:pt idx="31">
                  <c:v>5.5269498875693573E-2</c:v>
                </c:pt>
                <c:pt idx="32">
                  <c:v>5.5289204464828851E-2</c:v>
                </c:pt>
                <c:pt idx="33">
                  <c:v>5.5275367603849074E-2</c:v>
                </c:pt>
                <c:pt idx="34">
                  <c:v>5.5277288169649497E-2</c:v>
                </c:pt>
                <c:pt idx="35">
                  <c:v>5.5276264481477065E-2</c:v>
                </c:pt>
                <c:pt idx="36">
                  <c:v>5.5264021476744932E-2</c:v>
                </c:pt>
                <c:pt idx="37">
                  <c:v>5.5266059329474371E-2</c:v>
                </c:pt>
                <c:pt idx="38">
                  <c:v>5.5258991428385258E-2</c:v>
                </c:pt>
                <c:pt idx="39">
                  <c:v>5.5260401307487758E-2</c:v>
                </c:pt>
                <c:pt idx="40">
                  <c:v>5.5262090868739129E-2</c:v>
                </c:pt>
                <c:pt idx="41">
                  <c:v>5.5243770390414004E-2</c:v>
                </c:pt>
                <c:pt idx="42">
                  <c:v>5.5240649741332325E-2</c:v>
                </c:pt>
                <c:pt idx="43">
                  <c:v>5.5225937405826431E-2</c:v>
                </c:pt>
                <c:pt idx="44">
                  <c:v>5.5212868985554255E-2</c:v>
                </c:pt>
                <c:pt idx="45">
                  <c:v>5.5201210032583818E-2</c:v>
                </c:pt>
                <c:pt idx="46">
                  <c:v>5.5197414625655652E-2</c:v>
                </c:pt>
                <c:pt idx="47">
                  <c:v>5.5205475869609007E-2</c:v>
                </c:pt>
                <c:pt idx="48">
                  <c:v>5.5223223928842824E-2</c:v>
                </c:pt>
                <c:pt idx="49">
                  <c:v>5.5218620835096016E-2</c:v>
                </c:pt>
                <c:pt idx="50">
                  <c:v>5.5233136252258869E-2</c:v>
                </c:pt>
                <c:pt idx="51">
                  <c:v>5.5219227928484993E-2</c:v>
                </c:pt>
                <c:pt idx="52">
                  <c:v>5.5220665391608699E-2</c:v>
                </c:pt>
                <c:pt idx="53">
                  <c:v>5.5225559765990216E-2</c:v>
                </c:pt>
                <c:pt idx="54">
                  <c:v>5.5229420113566241E-2</c:v>
                </c:pt>
                <c:pt idx="55">
                  <c:v>5.5230761894923118E-2</c:v>
                </c:pt>
                <c:pt idx="56">
                  <c:v>5.5213467889787635E-2</c:v>
                </c:pt>
                <c:pt idx="57">
                  <c:v>5.5214947192980639E-2</c:v>
                </c:pt>
                <c:pt idx="58">
                  <c:v>5.5197609390189376E-2</c:v>
                </c:pt>
                <c:pt idx="59">
                  <c:v>5.5203303142868448E-2</c:v>
                </c:pt>
                <c:pt idx="60">
                  <c:v>5.5211011342545656E-2</c:v>
                </c:pt>
                <c:pt idx="61">
                  <c:v>5.5219529471449508E-2</c:v>
                </c:pt>
                <c:pt idx="62">
                  <c:v>5.5231152422670814E-2</c:v>
                </c:pt>
                <c:pt idx="63">
                  <c:v>5.5231094290413091E-2</c:v>
                </c:pt>
                <c:pt idx="64">
                  <c:v>5.5234753521925681E-2</c:v>
                </c:pt>
                <c:pt idx="65">
                  <c:v>5.5219553473407852E-2</c:v>
                </c:pt>
                <c:pt idx="66">
                  <c:v>5.5217441705701427E-2</c:v>
                </c:pt>
                <c:pt idx="67">
                  <c:v>5.5220547036614685E-2</c:v>
                </c:pt>
                <c:pt idx="68">
                  <c:v>5.5199625845388581E-2</c:v>
                </c:pt>
                <c:pt idx="69">
                  <c:v>5.5214968352954433E-2</c:v>
                </c:pt>
                <c:pt idx="70">
                  <c:v>5.5232955659116123E-2</c:v>
                </c:pt>
                <c:pt idx="71">
                  <c:v>5.5250096692264578E-2</c:v>
                </c:pt>
                <c:pt idx="72">
                  <c:v>5.524194464577574E-2</c:v>
                </c:pt>
                <c:pt idx="73">
                  <c:v>5.5244771161832462E-2</c:v>
                </c:pt>
                <c:pt idx="74">
                  <c:v>5.5234135309599926E-2</c:v>
                </c:pt>
                <c:pt idx="75">
                  <c:v>5.5236606041575514E-2</c:v>
                </c:pt>
                <c:pt idx="76">
                  <c:v>5.5231231561385957E-2</c:v>
                </c:pt>
                <c:pt idx="77">
                  <c:v>5.5242250259861285E-2</c:v>
                </c:pt>
                <c:pt idx="78">
                  <c:v>5.5230111943061211E-2</c:v>
                </c:pt>
                <c:pt idx="79">
                  <c:v>5.5234633318719958E-2</c:v>
                </c:pt>
                <c:pt idx="80">
                  <c:v>5.5252178035388351E-2</c:v>
                </c:pt>
                <c:pt idx="81">
                  <c:v>5.5247679856147432E-2</c:v>
                </c:pt>
                <c:pt idx="82">
                  <c:v>5.5237909758914995E-2</c:v>
                </c:pt>
                <c:pt idx="83">
                  <c:v>5.5229460470944972E-2</c:v>
                </c:pt>
                <c:pt idx="84">
                  <c:v>5.523759964710899E-2</c:v>
                </c:pt>
                <c:pt idx="85">
                  <c:v>5.5251701382630601E-2</c:v>
                </c:pt>
                <c:pt idx="86">
                  <c:v>5.5250555089580149E-2</c:v>
                </c:pt>
                <c:pt idx="87">
                  <c:v>5.5238578853460424E-2</c:v>
                </c:pt>
                <c:pt idx="88">
                  <c:v>5.5235738165017978E-2</c:v>
                </c:pt>
                <c:pt idx="89">
                  <c:v>5.5242972485283773E-2</c:v>
                </c:pt>
                <c:pt idx="90">
                  <c:v>5.5227742840451712E-2</c:v>
                </c:pt>
                <c:pt idx="91">
                  <c:v>5.5231606133036806E-2</c:v>
                </c:pt>
                <c:pt idx="92">
                  <c:v>5.5229983878294725E-2</c:v>
                </c:pt>
                <c:pt idx="93">
                  <c:v>5.5213565857202315E-2</c:v>
                </c:pt>
                <c:pt idx="94">
                  <c:v>5.520873655192924E-2</c:v>
                </c:pt>
                <c:pt idx="95">
                  <c:v>5.5213599719429289E-2</c:v>
                </c:pt>
                <c:pt idx="96">
                  <c:v>5.5213829243285439E-2</c:v>
                </c:pt>
                <c:pt idx="97">
                  <c:v>5.5214939707387951E-2</c:v>
                </c:pt>
                <c:pt idx="98">
                  <c:v>5.5215831020631274E-2</c:v>
                </c:pt>
                <c:pt idx="99">
                  <c:v>5.5204286094776969E-2</c:v>
                </c:pt>
                <c:pt idx="100">
                  <c:v>5.5204032827978679E-2</c:v>
                </c:pt>
                <c:pt idx="101">
                  <c:v>5.5197703613460367E-2</c:v>
                </c:pt>
                <c:pt idx="102">
                  <c:v>5.519416778753572E-2</c:v>
                </c:pt>
                <c:pt idx="103">
                  <c:v>5.5183231395930461E-2</c:v>
                </c:pt>
                <c:pt idx="104">
                  <c:v>5.5179887489089426E-2</c:v>
                </c:pt>
                <c:pt idx="105">
                  <c:v>5.5202126709595824E-2</c:v>
                </c:pt>
                <c:pt idx="106">
                  <c:v>5.5185182539698945E-2</c:v>
                </c:pt>
                <c:pt idx="107">
                  <c:v>5.5177703787191376E-2</c:v>
                </c:pt>
                <c:pt idx="108">
                  <c:v>5.517786525907005E-2</c:v>
                </c:pt>
                <c:pt idx="109">
                  <c:v>5.5184637879096568E-2</c:v>
                </c:pt>
                <c:pt idx="110">
                  <c:v>5.5199940595736206E-2</c:v>
                </c:pt>
                <c:pt idx="111">
                  <c:v>5.5189953899467528E-2</c:v>
                </c:pt>
                <c:pt idx="112">
                  <c:v>5.518003882067074E-2</c:v>
                </c:pt>
                <c:pt idx="113">
                  <c:v>5.5165300082888793E-2</c:v>
                </c:pt>
                <c:pt idx="114">
                  <c:v>5.5158691475448586E-2</c:v>
                </c:pt>
                <c:pt idx="115">
                  <c:v>5.5155735786413536E-2</c:v>
                </c:pt>
                <c:pt idx="116">
                  <c:v>5.5169133083501583E-2</c:v>
                </c:pt>
                <c:pt idx="117">
                  <c:v>5.5168109343856582E-2</c:v>
                </c:pt>
                <c:pt idx="118">
                  <c:v>5.5154198656539026E-2</c:v>
                </c:pt>
                <c:pt idx="119">
                  <c:v>5.5169805410871291E-2</c:v>
                </c:pt>
                <c:pt idx="120">
                  <c:v>5.5191421714675622E-2</c:v>
                </c:pt>
                <c:pt idx="121">
                  <c:v>5.5194036643746079E-2</c:v>
                </c:pt>
                <c:pt idx="122">
                  <c:v>5.5203157192589496E-2</c:v>
                </c:pt>
                <c:pt idx="123">
                  <c:v>5.5205788318305207E-2</c:v>
                </c:pt>
                <c:pt idx="124">
                  <c:v>5.5209942720034856E-2</c:v>
                </c:pt>
                <c:pt idx="125">
                  <c:v>5.520062133528543E-2</c:v>
                </c:pt>
                <c:pt idx="126">
                  <c:v>5.5210698953421414E-2</c:v>
                </c:pt>
                <c:pt idx="127">
                  <c:v>5.5212935148335467E-2</c:v>
                </c:pt>
                <c:pt idx="128">
                  <c:v>5.5209054845465413E-2</c:v>
                </c:pt>
                <c:pt idx="129">
                  <c:v>5.5197701525369236E-2</c:v>
                </c:pt>
                <c:pt idx="130">
                  <c:v>5.5214605332618856E-2</c:v>
                </c:pt>
                <c:pt idx="131">
                  <c:v>5.5227540949014192E-2</c:v>
                </c:pt>
                <c:pt idx="132">
                  <c:v>5.5226639342857764E-2</c:v>
                </c:pt>
                <c:pt idx="133">
                  <c:v>5.5215239726384389E-2</c:v>
                </c:pt>
                <c:pt idx="134">
                  <c:v>5.5225236548936046E-2</c:v>
                </c:pt>
                <c:pt idx="135">
                  <c:v>5.5218603017215692E-2</c:v>
                </c:pt>
                <c:pt idx="136">
                  <c:v>5.5220666352511362E-2</c:v>
                </c:pt>
                <c:pt idx="137">
                  <c:v>5.5234114565085417E-2</c:v>
                </c:pt>
                <c:pt idx="138">
                  <c:v>5.5232016144130966E-2</c:v>
                </c:pt>
                <c:pt idx="139">
                  <c:v>5.5237322218954152E-2</c:v>
                </c:pt>
                <c:pt idx="140">
                  <c:v>5.5232494805124509E-2</c:v>
                </c:pt>
                <c:pt idx="141">
                  <c:v>5.5250510153986437E-2</c:v>
                </c:pt>
                <c:pt idx="142">
                  <c:v>5.5254989227367837E-2</c:v>
                </c:pt>
                <c:pt idx="143">
                  <c:v>5.5253145231344468E-2</c:v>
                </c:pt>
                <c:pt idx="144">
                  <c:v>5.5270521735947938E-2</c:v>
                </c:pt>
                <c:pt idx="145">
                  <c:v>5.5261151153025108E-2</c:v>
                </c:pt>
                <c:pt idx="146">
                  <c:v>5.5271366654585652E-2</c:v>
                </c:pt>
                <c:pt idx="147">
                  <c:v>5.5288235721961149E-2</c:v>
                </c:pt>
                <c:pt idx="148">
                  <c:v>5.5283227233814472E-2</c:v>
                </c:pt>
                <c:pt idx="149">
                  <c:v>5.526184675283613E-2</c:v>
                </c:pt>
                <c:pt idx="150">
                  <c:v>5.5260849964911908E-2</c:v>
                </c:pt>
                <c:pt idx="151">
                  <c:v>5.5272484651005274E-2</c:v>
                </c:pt>
                <c:pt idx="152">
                  <c:v>5.5266082530668025E-2</c:v>
                </c:pt>
                <c:pt idx="153">
                  <c:v>5.5260769358722588E-2</c:v>
                </c:pt>
                <c:pt idx="154">
                  <c:v>5.5257573262514771E-2</c:v>
                </c:pt>
                <c:pt idx="155">
                  <c:v>5.5248600563873047E-2</c:v>
                </c:pt>
                <c:pt idx="156">
                  <c:v>5.5261932453171736E-2</c:v>
                </c:pt>
                <c:pt idx="157">
                  <c:v>5.5272598600916253E-2</c:v>
                </c:pt>
                <c:pt idx="158">
                  <c:v>5.5273816494185918E-2</c:v>
                </c:pt>
                <c:pt idx="159">
                  <c:v>5.52890366548075E-2</c:v>
                </c:pt>
                <c:pt idx="160">
                  <c:v>5.5282584413695844E-2</c:v>
                </c:pt>
                <c:pt idx="161">
                  <c:v>5.5286561019972723E-2</c:v>
                </c:pt>
                <c:pt idx="162">
                  <c:v>5.5279042413239055E-2</c:v>
                </c:pt>
                <c:pt idx="163">
                  <c:v>5.5288208033858831E-2</c:v>
                </c:pt>
                <c:pt idx="164">
                  <c:v>5.5276932685691095E-2</c:v>
                </c:pt>
                <c:pt idx="165">
                  <c:v>5.5298198658387913E-2</c:v>
                </c:pt>
                <c:pt idx="166">
                  <c:v>5.5294791177675606E-2</c:v>
                </c:pt>
                <c:pt idx="167">
                  <c:v>5.5294843972440499E-2</c:v>
                </c:pt>
                <c:pt idx="168">
                  <c:v>5.530741196277339E-2</c:v>
                </c:pt>
                <c:pt idx="169">
                  <c:v>5.5302662377224164E-2</c:v>
                </c:pt>
                <c:pt idx="170">
                  <c:v>5.5304578393045901E-2</c:v>
                </c:pt>
                <c:pt idx="171">
                  <c:v>5.5304323225058002E-2</c:v>
                </c:pt>
                <c:pt idx="172">
                  <c:v>5.5324199327653048E-2</c:v>
                </c:pt>
                <c:pt idx="173">
                  <c:v>5.5317177997576711E-2</c:v>
                </c:pt>
                <c:pt idx="174">
                  <c:v>5.5313103645297609E-2</c:v>
                </c:pt>
                <c:pt idx="175">
                  <c:v>5.531059647047492E-2</c:v>
                </c:pt>
                <c:pt idx="176">
                  <c:v>5.5315220230763761E-2</c:v>
                </c:pt>
                <c:pt idx="177">
                  <c:v>5.5323384577797681E-2</c:v>
                </c:pt>
                <c:pt idx="178">
                  <c:v>5.533408548641805E-2</c:v>
                </c:pt>
                <c:pt idx="179">
                  <c:v>5.5343628343553115E-2</c:v>
                </c:pt>
                <c:pt idx="180">
                  <c:v>5.5327513706426447E-2</c:v>
                </c:pt>
                <c:pt idx="181">
                  <c:v>5.5322851211835757E-2</c:v>
                </c:pt>
                <c:pt idx="182">
                  <c:v>5.5326000153987781E-2</c:v>
                </c:pt>
                <c:pt idx="183">
                  <c:v>5.5328270357830535E-2</c:v>
                </c:pt>
                <c:pt idx="184">
                  <c:v>5.535013476157695E-2</c:v>
                </c:pt>
                <c:pt idx="185">
                  <c:v>5.5359053283352888E-2</c:v>
                </c:pt>
                <c:pt idx="186">
                  <c:v>5.5363940420840245E-2</c:v>
                </c:pt>
                <c:pt idx="187">
                  <c:v>5.5343141795237645E-2</c:v>
                </c:pt>
                <c:pt idx="188">
                  <c:v>5.5343692346300002E-2</c:v>
                </c:pt>
                <c:pt idx="189">
                  <c:v>5.5354096521550225E-2</c:v>
                </c:pt>
                <c:pt idx="190">
                  <c:v>5.5359680927395287E-2</c:v>
                </c:pt>
                <c:pt idx="191">
                  <c:v>5.5357669046612996E-2</c:v>
                </c:pt>
                <c:pt idx="192">
                  <c:v>5.5367097583928424E-2</c:v>
                </c:pt>
                <c:pt idx="193">
                  <c:v>5.5363366859895555E-2</c:v>
                </c:pt>
                <c:pt idx="194">
                  <c:v>5.5386378823314181E-2</c:v>
                </c:pt>
                <c:pt idx="195">
                  <c:v>5.5389526078743111E-2</c:v>
                </c:pt>
                <c:pt idx="196">
                  <c:v>5.5372394081472057E-2</c:v>
                </c:pt>
                <c:pt idx="197">
                  <c:v>5.5380436339365888E-2</c:v>
                </c:pt>
                <c:pt idx="198">
                  <c:v>5.5369698811107232E-2</c:v>
                </c:pt>
                <c:pt idx="199">
                  <c:v>5.5380655682901334E-2</c:v>
                </c:pt>
                <c:pt idx="200">
                  <c:v>5.5371753720093744E-2</c:v>
                </c:pt>
                <c:pt idx="201">
                  <c:v>5.5400588443215326E-2</c:v>
                </c:pt>
                <c:pt idx="202">
                  <c:v>5.5412454270890171E-2</c:v>
                </c:pt>
                <c:pt idx="203">
                  <c:v>5.5402895608590713E-2</c:v>
                </c:pt>
                <c:pt idx="204">
                  <c:v>5.5391847777003352E-2</c:v>
                </c:pt>
                <c:pt idx="205">
                  <c:v>5.540418987603999E-2</c:v>
                </c:pt>
                <c:pt idx="206">
                  <c:v>5.5403241274438374E-2</c:v>
                </c:pt>
                <c:pt idx="207">
                  <c:v>5.5400485916269296E-2</c:v>
                </c:pt>
                <c:pt idx="208">
                  <c:v>5.539133094867469E-2</c:v>
                </c:pt>
                <c:pt idx="209">
                  <c:v>5.5396884263689564E-2</c:v>
                </c:pt>
                <c:pt idx="210">
                  <c:v>5.5405558383524914E-2</c:v>
                </c:pt>
                <c:pt idx="211">
                  <c:v>5.5410082922476518E-2</c:v>
                </c:pt>
                <c:pt idx="212">
                  <c:v>5.5416872013219723E-2</c:v>
                </c:pt>
                <c:pt idx="213">
                  <c:v>5.5394068071853347E-2</c:v>
                </c:pt>
                <c:pt idx="214">
                  <c:v>5.5390821755638073E-2</c:v>
                </c:pt>
                <c:pt idx="215">
                  <c:v>5.5378155115201652E-2</c:v>
                </c:pt>
                <c:pt idx="216">
                  <c:v>5.538678375551917E-2</c:v>
                </c:pt>
                <c:pt idx="217">
                  <c:v>5.538132909878473E-2</c:v>
                </c:pt>
                <c:pt idx="218">
                  <c:v>5.5384227348648077E-2</c:v>
                </c:pt>
                <c:pt idx="219">
                  <c:v>5.5393184641095473E-2</c:v>
                </c:pt>
                <c:pt idx="220">
                  <c:v>5.5394345187549446E-2</c:v>
                </c:pt>
                <c:pt idx="221">
                  <c:v>5.5415454785445697E-2</c:v>
                </c:pt>
                <c:pt idx="222">
                  <c:v>5.5429102758237286E-2</c:v>
                </c:pt>
                <c:pt idx="223">
                  <c:v>5.5420943079263291E-2</c:v>
                </c:pt>
                <c:pt idx="224">
                  <c:v>5.5427522531041613E-2</c:v>
                </c:pt>
                <c:pt idx="225">
                  <c:v>5.5413243701198552E-2</c:v>
                </c:pt>
                <c:pt idx="226">
                  <c:v>5.5422169681494209E-2</c:v>
                </c:pt>
                <c:pt idx="227">
                  <c:v>5.5425444522698555E-2</c:v>
                </c:pt>
                <c:pt idx="228">
                  <c:v>5.5420070280833601E-2</c:v>
                </c:pt>
                <c:pt idx="229">
                  <c:v>5.5404205445594747E-2</c:v>
                </c:pt>
                <c:pt idx="230">
                  <c:v>5.5398719994997347E-2</c:v>
                </c:pt>
                <c:pt idx="231">
                  <c:v>5.5416285812169418E-2</c:v>
                </c:pt>
                <c:pt idx="232">
                  <c:v>5.5416991117745174E-2</c:v>
                </c:pt>
                <c:pt idx="233">
                  <c:v>5.5412235508686139E-2</c:v>
                </c:pt>
                <c:pt idx="234">
                  <c:v>5.5404036501387775E-2</c:v>
                </c:pt>
                <c:pt idx="235">
                  <c:v>5.5391776789052119E-2</c:v>
                </c:pt>
                <c:pt idx="236">
                  <c:v>5.5391138619118242E-2</c:v>
                </c:pt>
                <c:pt idx="237">
                  <c:v>5.5402841819681872E-2</c:v>
                </c:pt>
                <c:pt idx="238">
                  <c:v>5.5404581172618809E-2</c:v>
                </c:pt>
                <c:pt idx="239">
                  <c:v>5.5403443169228392E-2</c:v>
                </c:pt>
                <c:pt idx="240">
                  <c:v>5.5408234400111181E-2</c:v>
                </c:pt>
                <c:pt idx="241">
                  <c:v>5.5423798903554589E-2</c:v>
                </c:pt>
                <c:pt idx="242">
                  <c:v>5.5419903394382443E-2</c:v>
                </c:pt>
                <c:pt idx="243">
                  <c:v>5.544457742196781E-2</c:v>
                </c:pt>
                <c:pt idx="244">
                  <c:v>5.5438423926988445E-2</c:v>
                </c:pt>
                <c:pt idx="245">
                  <c:v>5.5435477744422965E-2</c:v>
                </c:pt>
                <c:pt idx="246">
                  <c:v>5.5447818261835154E-2</c:v>
                </c:pt>
                <c:pt idx="247">
                  <c:v>5.5431271224844425E-2</c:v>
                </c:pt>
                <c:pt idx="248">
                  <c:v>5.5449576133023405E-2</c:v>
                </c:pt>
                <c:pt idx="249">
                  <c:v>5.5459884646779145E-2</c:v>
                </c:pt>
                <c:pt idx="250">
                  <c:v>5.545396096428741E-2</c:v>
                </c:pt>
                <c:pt idx="251">
                  <c:v>5.545558773383806E-2</c:v>
                </c:pt>
                <c:pt idx="252">
                  <c:v>5.546498995003836E-2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56-3F41-A367-84E74741A2A2}"/>
            </c:ext>
          </c:extLst>
        </c:ser>
        <c:ser>
          <c:idx val="7"/>
          <c:order val="7"/>
          <c:tx>
            <c:strRef>
              <c:f>'Vasicek Simulation (MLE)'!$L$1</c:f>
              <c:strCache>
                <c:ptCount val="1"/>
                <c:pt idx="0">
                  <c:v>Sims 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(MLE)'!$L$2:$L$254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5.518367277977107E-2</c:v>
                </c:pt>
                <c:pt idx="2">
                  <c:v>5.5181193598421566E-2</c:v>
                </c:pt>
                <c:pt idx="3">
                  <c:v>5.5182255679886272E-2</c:v>
                </c:pt>
                <c:pt idx="4">
                  <c:v>5.5199057168815936E-2</c:v>
                </c:pt>
                <c:pt idx="5">
                  <c:v>5.5203060786012038E-2</c:v>
                </c:pt>
                <c:pt idx="6">
                  <c:v>5.5195550380057586E-2</c:v>
                </c:pt>
                <c:pt idx="7">
                  <c:v>5.5204815905380615E-2</c:v>
                </c:pt>
                <c:pt idx="8">
                  <c:v>5.5187981729012812E-2</c:v>
                </c:pt>
                <c:pt idx="9">
                  <c:v>5.5191279238105427E-2</c:v>
                </c:pt>
                <c:pt idx="10">
                  <c:v>5.5206886935987569E-2</c:v>
                </c:pt>
                <c:pt idx="11">
                  <c:v>5.5199385372544735E-2</c:v>
                </c:pt>
                <c:pt idx="12">
                  <c:v>5.5195665401616169E-2</c:v>
                </c:pt>
                <c:pt idx="13">
                  <c:v>5.5188591585404193E-2</c:v>
                </c:pt>
                <c:pt idx="14">
                  <c:v>5.5183621816505796E-2</c:v>
                </c:pt>
                <c:pt idx="15">
                  <c:v>5.5179152522879055E-2</c:v>
                </c:pt>
                <c:pt idx="16">
                  <c:v>5.5175206673070555E-2</c:v>
                </c:pt>
                <c:pt idx="17">
                  <c:v>5.5179394027464197E-2</c:v>
                </c:pt>
                <c:pt idx="18">
                  <c:v>5.5190539120463879E-2</c:v>
                </c:pt>
                <c:pt idx="19">
                  <c:v>5.518314020501356E-2</c:v>
                </c:pt>
                <c:pt idx="20">
                  <c:v>5.5194680265724293E-2</c:v>
                </c:pt>
                <c:pt idx="21">
                  <c:v>5.5204455348737198E-2</c:v>
                </c:pt>
                <c:pt idx="22">
                  <c:v>5.5197117040337924E-2</c:v>
                </c:pt>
                <c:pt idx="23">
                  <c:v>5.5191345200885054E-2</c:v>
                </c:pt>
                <c:pt idx="24">
                  <c:v>5.5175397913785861E-2</c:v>
                </c:pt>
                <c:pt idx="25">
                  <c:v>5.5162299543431104E-2</c:v>
                </c:pt>
                <c:pt idx="26">
                  <c:v>5.5160874994054067E-2</c:v>
                </c:pt>
                <c:pt idx="27">
                  <c:v>5.5161673696974722E-2</c:v>
                </c:pt>
                <c:pt idx="28">
                  <c:v>5.5180101163085096E-2</c:v>
                </c:pt>
                <c:pt idx="29">
                  <c:v>5.5177471753002243E-2</c:v>
                </c:pt>
                <c:pt idx="30">
                  <c:v>5.5164769540084396E-2</c:v>
                </c:pt>
                <c:pt idx="31">
                  <c:v>5.5175045652828651E-2</c:v>
                </c:pt>
                <c:pt idx="32">
                  <c:v>5.5166181088061664E-2</c:v>
                </c:pt>
                <c:pt idx="33">
                  <c:v>5.5169597711586388E-2</c:v>
                </c:pt>
                <c:pt idx="34">
                  <c:v>5.5157471088156773E-2</c:v>
                </c:pt>
                <c:pt idx="35">
                  <c:v>5.5149764747867355E-2</c:v>
                </c:pt>
                <c:pt idx="36">
                  <c:v>5.5141264174549148E-2</c:v>
                </c:pt>
                <c:pt idx="37">
                  <c:v>5.5130532466112901E-2</c:v>
                </c:pt>
                <c:pt idx="38">
                  <c:v>5.5142700190755449E-2</c:v>
                </c:pt>
                <c:pt idx="39">
                  <c:v>5.5154748162662436E-2</c:v>
                </c:pt>
                <c:pt idx="40">
                  <c:v>5.5147435569360213E-2</c:v>
                </c:pt>
                <c:pt idx="41">
                  <c:v>5.5153761332848057E-2</c:v>
                </c:pt>
                <c:pt idx="42">
                  <c:v>5.5156043713334615E-2</c:v>
                </c:pt>
                <c:pt idx="43">
                  <c:v>5.5135961074588055E-2</c:v>
                </c:pt>
                <c:pt idx="44">
                  <c:v>5.5141127897491322E-2</c:v>
                </c:pt>
                <c:pt idx="45">
                  <c:v>5.515148421359687E-2</c:v>
                </c:pt>
                <c:pt idx="46">
                  <c:v>5.5156181809783759E-2</c:v>
                </c:pt>
                <c:pt idx="47">
                  <c:v>5.5169046498679222E-2</c:v>
                </c:pt>
                <c:pt idx="48">
                  <c:v>5.5168114760126154E-2</c:v>
                </c:pt>
                <c:pt idx="49">
                  <c:v>5.5178418463766574E-2</c:v>
                </c:pt>
                <c:pt idx="50">
                  <c:v>5.5191803888862238E-2</c:v>
                </c:pt>
                <c:pt idx="51">
                  <c:v>5.5196493695048116E-2</c:v>
                </c:pt>
                <c:pt idx="52">
                  <c:v>5.521166504766889E-2</c:v>
                </c:pt>
                <c:pt idx="53">
                  <c:v>5.521369347743886E-2</c:v>
                </c:pt>
                <c:pt idx="54">
                  <c:v>5.5220122925198407E-2</c:v>
                </c:pt>
                <c:pt idx="55">
                  <c:v>5.5207450938833204E-2</c:v>
                </c:pt>
                <c:pt idx="56">
                  <c:v>5.5209336801660298E-2</c:v>
                </c:pt>
                <c:pt idx="57">
                  <c:v>5.5210764459761447E-2</c:v>
                </c:pt>
                <c:pt idx="58">
                  <c:v>5.5218588363131975E-2</c:v>
                </c:pt>
                <c:pt idx="59">
                  <c:v>5.5213298983078307E-2</c:v>
                </c:pt>
                <c:pt idx="60">
                  <c:v>5.5203905459148536E-2</c:v>
                </c:pt>
                <c:pt idx="61">
                  <c:v>5.5218614404776697E-2</c:v>
                </c:pt>
                <c:pt idx="62">
                  <c:v>5.5232327581537129E-2</c:v>
                </c:pt>
                <c:pt idx="63">
                  <c:v>5.5237274319063674E-2</c:v>
                </c:pt>
                <c:pt idx="64">
                  <c:v>5.5234444454533078E-2</c:v>
                </c:pt>
                <c:pt idx="65">
                  <c:v>5.5241459283059846E-2</c:v>
                </c:pt>
                <c:pt idx="66">
                  <c:v>5.5244226916829384E-2</c:v>
                </c:pt>
                <c:pt idx="67">
                  <c:v>5.5247508250217577E-2</c:v>
                </c:pt>
                <c:pt idx="68">
                  <c:v>5.5240092290296867E-2</c:v>
                </c:pt>
                <c:pt idx="69">
                  <c:v>5.5233917695681804E-2</c:v>
                </c:pt>
                <c:pt idx="70">
                  <c:v>5.523660030300407E-2</c:v>
                </c:pt>
                <c:pt idx="71">
                  <c:v>5.525468180956606E-2</c:v>
                </c:pt>
                <c:pt idx="72">
                  <c:v>5.5252294507696129E-2</c:v>
                </c:pt>
                <c:pt idx="73">
                  <c:v>5.5255439417531284E-2</c:v>
                </c:pt>
                <c:pt idx="74">
                  <c:v>5.5281446240316542E-2</c:v>
                </c:pt>
                <c:pt idx="75">
                  <c:v>5.5286257333490088E-2</c:v>
                </c:pt>
                <c:pt idx="76">
                  <c:v>5.5276303036745439E-2</c:v>
                </c:pt>
                <c:pt idx="77">
                  <c:v>5.5273185339107508E-2</c:v>
                </c:pt>
                <c:pt idx="78">
                  <c:v>5.5274686385075003E-2</c:v>
                </c:pt>
                <c:pt idx="79">
                  <c:v>5.5303293316870415E-2</c:v>
                </c:pt>
                <c:pt idx="80">
                  <c:v>5.5320180119366812E-2</c:v>
                </c:pt>
                <c:pt idx="81">
                  <c:v>5.5321276958748965E-2</c:v>
                </c:pt>
                <c:pt idx="82">
                  <c:v>5.5333619171794808E-2</c:v>
                </c:pt>
                <c:pt idx="83">
                  <c:v>5.5331826976366003E-2</c:v>
                </c:pt>
                <c:pt idx="84">
                  <c:v>5.5330999461620151E-2</c:v>
                </c:pt>
                <c:pt idx="85">
                  <c:v>5.5325928730670104E-2</c:v>
                </c:pt>
                <c:pt idx="86">
                  <c:v>5.5306694903118833E-2</c:v>
                </c:pt>
                <c:pt idx="87">
                  <c:v>5.5301569418577404E-2</c:v>
                </c:pt>
                <c:pt idx="88">
                  <c:v>5.5289236316136435E-2</c:v>
                </c:pt>
                <c:pt idx="89">
                  <c:v>5.5291999260819534E-2</c:v>
                </c:pt>
                <c:pt idx="90">
                  <c:v>5.5286775833788306E-2</c:v>
                </c:pt>
                <c:pt idx="91">
                  <c:v>5.5287139628544479E-2</c:v>
                </c:pt>
                <c:pt idx="92">
                  <c:v>5.5289695830799582E-2</c:v>
                </c:pt>
                <c:pt idx="93">
                  <c:v>5.5307019942111839E-2</c:v>
                </c:pt>
                <c:pt idx="94">
                  <c:v>5.5316994659755821E-2</c:v>
                </c:pt>
                <c:pt idx="95">
                  <c:v>5.5307650511178301E-2</c:v>
                </c:pt>
                <c:pt idx="96">
                  <c:v>5.5303377686417556E-2</c:v>
                </c:pt>
                <c:pt idx="97">
                  <c:v>5.5330122133252037E-2</c:v>
                </c:pt>
                <c:pt idx="98">
                  <c:v>5.5324556026243386E-2</c:v>
                </c:pt>
                <c:pt idx="99">
                  <c:v>5.5323051844804245E-2</c:v>
                </c:pt>
                <c:pt idx="100">
                  <c:v>5.5319043659357449E-2</c:v>
                </c:pt>
                <c:pt idx="101">
                  <c:v>5.5321336752837652E-2</c:v>
                </c:pt>
                <c:pt idx="102">
                  <c:v>5.5345294830122869E-2</c:v>
                </c:pt>
                <c:pt idx="103">
                  <c:v>5.5340361619308817E-2</c:v>
                </c:pt>
                <c:pt idx="104">
                  <c:v>5.5332400941943402E-2</c:v>
                </c:pt>
                <c:pt idx="105">
                  <c:v>5.5328840016153319E-2</c:v>
                </c:pt>
                <c:pt idx="106">
                  <c:v>5.5330835193297172E-2</c:v>
                </c:pt>
                <c:pt idx="107">
                  <c:v>5.5319960029003093E-2</c:v>
                </c:pt>
                <c:pt idx="108">
                  <c:v>5.5309605434775824E-2</c:v>
                </c:pt>
                <c:pt idx="109">
                  <c:v>5.5314695669866069E-2</c:v>
                </c:pt>
                <c:pt idx="110">
                  <c:v>5.5310423615800818E-2</c:v>
                </c:pt>
                <c:pt idx="111">
                  <c:v>5.5293791458164092E-2</c:v>
                </c:pt>
                <c:pt idx="112">
                  <c:v>5.5302305643814297E-2</c:v>
                </c:pt>
                <c:pt idx="113">
                  <c:v>5.5311257880703513E-2</c:v>
                </c:pt>
                <c:pt idx="114">
                  <c:v>5.5327682670405436E-2</c:v>
                </c:pt>
                <c:pt idx="115">
                  <c:v>5.5356645694575081E-2</c:v>
                </c:pt>
                <c:pt idx="116">
                  <c:v>5.5347211251849188E-2</c:v>
                </c:pt>
                <c:pt idx="117">
                  <c:v>5.5349625026207667E-2</c:v>
                </c:pt>
                <c:pt idx="118">
                  <c:v>5.5351182828303057E-2</c:v>
                </c:pt>
                <c:pt idx="119">
                  <c:v>5.5359171061085406E-2</c:v>
                </c:pt>
                <c:pt idx="120">
                  <c:v>5.5362141832114804E-2</c:v>
                </c:pt>
                <c:pt idx="121">
                  <c:v>5.5381614002552593E-2</c:v>
                </c:pt>
                <c:pt idx="122">
                  <c:v>5.5381967168152552E-2</c:v>
                </c:pt>
                <c:pt idx="123">
                  <c:v>5.5396636872068861E-2</c:v>
                </c:pt>
                <c:pt idx="124">
                  <c:v>5.5409002904308474E-2</c:v>
                </c:pt>
                <c:pt idx="125">
                  <c:v>5.5401789343566148E-2</c:v>
                </c:pt>
                <c:pt idx="126">
                  <c:v>5.542124045225609E-2</c:v>
                </c:pt>
                <c:pt idx="127">
                  <c:v>5.5426345309429866E-2</c:v>
                </c:pt>
                <c:pt idx="128">
                  <c:v>5.5443139795903797E-2</c:v>
                </c:pt>
                <c:pt idx="129">
                  <c:v>5.5454950155180795E-2</c:v>
                </c:pt>
                <c:pt idx="130">
                  <c:v>5.5461818021745643E-2</c:v>
                </c:pt>
                <c:pt idx="131">
                  <c:v>5.5467224403236835E-2</c:v>
                </c:pt>
                <c:pt idx="132">
                  <c:v>5.5458270433509073E-2</c:v>
                </c:pt>
                <c:pt idx="133">
                  <c:v>5.545271143485405E-2</c:v>
                </c:pt>
                <c:pt idx="134">
                  <c:v>5.545101702508088E-2</c:v>
                </c:pt>
                <c:pt idx="135">
                  <c:v>5.5461878971241899E-2</c:v>
                </c:pt>
                <c:pt idx="136">
                  <c:v>5.5467167473257972E-2</c:v>
                </c:pt>
                <c:pt idx="137">
                  <c:v>5.5472284255861405E-2</c:v>
                </c:pt>
                <c:pt idx="138">
                  <c:v>5.5469193570455065E-2</c:v>
                </c:pt>
                <c:pt idx="139">
                  <c:v>5.5440401627222233E-2</c:v>
                </c:pt>
                <c:pt idx="140">
                  <c:v>5.5446155818133336E-2</c:v>
                </c:pt>
                <c:pt idx="141">
                  <c:v>5.5449557587667606E-2</c:v>
                </c:pt>
                <c:pt idx="142">
                  <c:v>5.5460468484026172E-2</c:v>
                </c:pt>
                <c:pt idx="143">
                  <c:v>5.5459185882828888E-2</c:v>
                </c:pt>
                <c:pt idx="144">
                  <c:v>5.5471148705082081E-2</c:v>
                </c:pt>
                <c:pt idx="145">
                  <c:v>5.5479104413996901E-2</c:v>
                </c:pt>
                <c:pt idx="146">
                  <c:v>5.5465338922695298E-2</c:v>
                </c:pt>
                <c:pt idx="147">
                  <c:v>5.5462706897955009E-2</c:v>
                </c:pt>
                <c:pt idx="148">
                  <c:v>5.5481724888807094E-2</c:v>
                </c:pt>
                <c:pt idx="149">
                  <c:v>5.5476609109512187E-2</c:v>
                </c:pt>
                <c:pt idx="150">
                  <c:v>5.5471458800717723E-2</c:v>
                </c:pt>
                <c:pt idx="151">
                  <c:v>5.5475611810724107E-2</c:v>
                </c:pt>
                <c:pt idx="152">
                  <c:v>5.5486843608804015E-2</c:v>
                </c:pt>
                <c:pt idx="153">
                  <c:v>5.5487863170863183E-2</c:v>
                </c:pt>
                <c:pt idx="154">
                  <c:v>5.5498205432269729E-2</c:v>
                </c:pt>
                <c:pt idx="155">
                  <c:v>5.5506688673745315E-2</c:v>
                </c:pt>
                <c:pt idx="156">
                  <c:v>5.5492060114536813E-2</c:v>
                </c:pt>
                <c:pt idx="157">
                  <c:v>5.5488832068455216E-2</c:v>
                </c:pt>
                <c:pt idx="158">
                  <c:v>5.5484740141701287E-2</c:v>
                </c:pt>
                <c:pt idx="159">
                  <c:v>5.5477753475710656E-2</c:v>
                </c:pt>
                <c:pt idx="160">
                  <c:v>5.5470116170698809E-2</c:v>
                </c:pt>
                <c:pt idx="161">
                  <c:v>5.547064969578016E-2</c:v>
                </c:pt>
                <c:pt idx="162">
                  <c:v>5.5483412486968309E-2</c:v>
                </c:pt>
                <c:pt idx="163">
                  <c:v>5.550741936012818E-2</c:v>
                </c:pt>
                <c:pt idx="164">
                  <c:v>5.5528324990149994E-2</c:v>
                </c:pt>
                <c:pt idx="165">
                  <c:v>5.5526094154836073E-2</c:v>
                </c:pt>
                <c:pt idx="166">
                  <c:v>5.554011308825537E-2</c:v>
                </c:pt>
                <c:pt idx="167">
                  <c:v>5.5532258460981289E-2</c:v>
                </c:pt>
                <c:pt idx="168">
                  <c:v>5.5530402672922849E-2</c:v>
                </c:pt>
                <c:pt idx="169">
                  <c:v>5.5538171568959883E-2</c:v>
                </c:pt>
                <c:pt idx="170">
                  <c:v>5.5540013475147337E-2</c:v>
                </c:pt>
                <c:pt idx="171">
                  <c:v>5.5528164479782927E-2</c:v>
                </c:pt>
                <c:pt idx="172">
                  <c:v>5.5510413560420684E-2</c:v>
                </c:pt>
                <c:pt idx="173">
                  <c:v>5.5517214387504399E-2</c:v>
                </c:pt>
                <c:pt idx="174">
                  <c:v>5.5512979415914293E-2</c:v>
                </c:pt>
                <c:pt idx="175">
                  <c:v>5.5504972093920309E-2</c:v>
                </c:pt>
                <c:pt idx="176">
                  <c:v>5.552880603882502E-2</c:v>
                </c:pt>
                <c:pt idx="177">
                  <c:v>5.553124735904192E-2</c:v>
                </c:pt>
                <c:pt idx="178">
                  <c:v>5.5525163077318002E-2</c:v>
                </c:pt>
                <c:pt idx="179">
                  <c:v>5.5511789817205767E-2</c:v>
                </c:pt>
                <c:pt idx="180">
                  <c:v>5.5521508364872005E-2</c:v>
                </c:pt>
                <c:pt idx="181">
                  <c:v>5.5508867538296973E-2</c:v>
                </c:pt>
                <c:pt idx="182">
                  <c:v>5.55128492175695E-2</c:v>
                </c:pt>
                <c:pt idx="183">
                  <c:v>5.5504965291336902E-2</c:v>
                </c:pt>
                <c:pt idx="184">
                  <c:v>5.5488224882764677E-2</c:v>
                </c:pt>
                <c:pt idx="185">
                  <c:v>5.5478356941097463E-2</c:v>
                </c:pt>
                <c:pt idx="186">
                  <c:v>5.5480619072812792E-2</c:v>
                </c:pt>
                <c:pt idx="187">
                  <c:v>5.5476668390980484E-2</c:v>
                </c:pt>
                <c:pt idx="188">
                  <c:v>5.5482890658663207E-2</c:v>
                </c:pt>
                <c:pt idx="189">
                  <c:v>5.5485225373738595E-2</c:v>
                </c:pt>
                <c:pt idx="190">
                  <c:v>5.5487178326084199E-2</c:v>
                </c:pt>
                <c:pt idx="191">
                  <c:v>5.5488217551615392E-2</c:v>
                </c:pt>
                <c:pt idx="192">
                  <c:v>5.5492830495420122E-2</c:v>
                </c:pt>
                <c:pt idx="193">
                  <c:v>5.5493720378818126E-2</c:v>
                </c:pt>
                <c:pt idx="194">
                  <c:v>5.5503841198827598E-2</c:v>
                </c:pt>
                <c:pt idx="195">
                  <c:v>5.550054506166837E-2</c:v>
                </c:pt>
                <c:pt idx="196">
                  <c:v>5.549661882675163E-2</c:v>
                </c:pt>
                <c:pt idx="197">
                  <c:v>5.5468829842063881E-2</c:v>
                </c:pt>
                <c:pt idx="198">
                  <c:v>5.5459194712385813E-2</c:v>
                </c:pt>
                <c:pt idx="199">
                  <c:v>5.5476392664132491E-2</c:v>
                </c:pt>
                <c:pt idx="200">
                  <c:v>5.5473353323223167E-2</c:v>
                </c:pt>
                <c:pt idx="201">
                  <c:v>5.5484280941443101E-2</c:v>
                </c:pt>
                <c:pt idx="202">
                  <c:v>5.5494099012100548E-2</c:v>
                </c:pt>
                <c:pt idx="203">
                  <c:v>5.5499132588191009E-2</c:v>
                </c:pt>
                <c:pt idx="204">
                  <c:v>5.5502933449609909E-2</c:v>
                </c:pt>
                <c:pt idx="205">
                  <c:v>5.5497292408951293E-2</c:v>
                </c:pt>
                <c:pt idx="206">
                  <c:v>5.5495267903257976E-2</c:v>
                </c:pt>
                <c:pt idx="207">
                  <c:v>5.5476020089499471E-2</c:v>
                </c:pt>
                <c:pt idx="208">
                  <c:v>5.5464553801296536E-2</c:v>
                </c:pt>
                <c:pt idx="209">
                  <c:v>5.5456421309417935E-2</c:v>
                </c:pt>
                <c:pt idx="210">
                  <c:v>5.5448842935982255E-2</c:v>
                </c:pt>
                <c:pt idx="211">
                  <c:v>5.5457540623297781E-2</c:v>
                </c:pt>
                <c:pt idx="212">
                  <c:v>5.546131568712314E-2</c:v>
                </c:pt>
                <c:pt idx="213">
                  <c:v>5.5464862902494506E-2</c:v>
                </c:pt>
                <c:pt idx="214">
                  <c:v>5.5459765609920823E-2</c:v>
                </c:pt>
                <c:pt idx="215">
                  <c:v>5.5457159820877774E-2</c:v>
                </c:pt>
                <c:pt idx="216">
                  <c:v>5.5456276764957652E-2</c:v>
                </c:pt>
                <c:pt idx="217">
                  <c:v>5.5471815278176233E-2</c:v>
                </c:pt>
                <c:pt idx="218">
                  <c:v>5.5477562432635047E-2</c:v>
                </c:pt>
                <c:pt idx="219">
                  <c:v>5.5471097199720557E-2</c:v>
                </c:pt>
                <c:pt idx="220">
                  <c:v>5.5485646130069122E-2</c:v>
                </c:pt>
                <c:pt idx="221">
                  <c:v>5.550936061279331E-2</c:v>
                </c:pt>
                <c:pt idx="222">
                  <c:v>5.5522378095065369E-2</c:v>
                </c:pt>
                <c:pt idx="223">
                  <c:v>5.5523259275450987E-2</c:v>
                </c:pt>
                <c:pt idx="224">
                  <c:v>5.5537999700627824E-2</c:v>
                </c:pt>
                <c:pt idx="225">
                  <c:v>5.5535228686950266E-2</c:v>
                </c:pt>
                <c:pt idx="226">
                  <c:v>5.5537065743990942E-2</c:v>
                </c:pt>
                <c:pt idx="227">
                  <c:v>5.5548101933019733E-2</c:v>
                </c:pt>
                <c:pt idx="228">
                  <c:v>5.5555784587162239E-2</c:v>
                </c:pt>
                <c:pt idx="229">
                  <c:v>5.556307223954933E-2</c:v>
                </c:pt>
                <c:pt idx="230">
                  <c:v>5.5559442926953258E-2</c:v>
                </c:pt>
                <c:pt idx="231">
                  <c:v>5.5569986409617335E-2</c:v>
                </c:pt>
                <c:pt idx="232">
                  <c:v>5.5571677444256756E-2</c:v>
                </c:pt>
                <c:pt idx="233">
                  <c:v>5.5567105618144021E-2</c:v>
                </c:pt>
                <c:pt idx="234">
                  <c:v>5.5537155496326429E-2</c:v>
                </c:pt>
                <c:pt idx="235">
                  <c:v>5.554651242977509E-2</c:v>
                </c:pt>
                <c:pt idx="236">
                  <c:v>5.5552546978383938E-2</c:v>
                </c:pt>
                <c:pt idx="237">
                  <c:v>5.5541861220319753E-2</c:v>
                </c:pt>
                <c:pt idx="238">
                  <c:v>5.5535604145186095E-2</c:v>
                </c:pt>
                <c:pt idx="239">
                  <c:v>5.5539102006682932E-2</c:v>
                </c:pt>
                <c:pt idx="240">
                  <c:v>5.5509811957718973E-2</c:v>
                </c:pt>
                <c:pt idx="241">
                  <c:v>5.5516559824999881E-2</c:v>
                </c:pt>
                <c:pt idx="242">
                  <c:v>5.5502489407051159E-2</c:v>
                </c:pt>
                <c:pt idx="243">
                  <c:v>5.5506821743206931E-2</c:v>
                </c:pt>
                <c:pt idx="244">
                  <c:v>5.5489071864858908E-2</c:v>
                </c:pt>
                <c:pt idx="245">
                  <c:v>5.5473892840631825E-2</c:v>
                </c:pt>
                <c:pt idx="246">
                  <c:v>5.5486174405933161E-2</c:v>
                </c:pt>
                <c:pt idx="247">
                  <c:v>5.5461333565949629E-2</c:v>
                </c:pt>
                <c:pt idx="248">
                  <c:v>5.5476703957880374E-2</c:v>
                </c:pt>
                <c:pt idx="249">
                  <c:v>5.5465292786736606E-2</c:v>
                </c:pt>
                <c:pt idx="250">
                  <c:v>5.5481972265237281E-2</c:v>
                </c:pt>
                <c:pt idx="251">
                  <c:v>5.5492012700306965E-2</c:v>
                </c:pt>
                <c:pt idx="252">
                  <c:v>5.5488852314091841E-2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56-3F41-A367-84E74741A2A2}"/>
            </c:ext>
          </c:extLst>
        </c:ser>
        <c:ser>
          <c:idx val="8"/>
          <c:order val="8"/>
          <c:tx>
            <c:strRef>
              <c:f>'Vasicek Simulation (MLE)'!$M$1</c:f>
              <c:strCache>
                <c:ptCount val="1"/>
                <c:pt idx="0">
                  <c:v>Sims 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(MLE)'!$M$2:$M$254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5.5205356016095657E-2</c:v>
                </c:pt>
                <c:pt idx="2">
                  <c:v>5.5215234824321412E-2</c:v>
                </c:pt>
                <c:pt idx="3">
                  <c:v>5.5214451543791579E-2</c:v>
                </c:pt>
                <c:pt idx="4">
                  <c:v>5.5201449840637219E-2</c:v>
                </c:pt>
                <c:pt idx="5">
                  <c:v>5.5227729429742196E-2</c:v>
                </c:pt>
                <c:pt idx="6">
                  <c:v>5.5217399757388944E-2</c:v>
                </c:pt>
                <c:pt idx="7">
                  <c:v>5.5223338469278432E-2</c:v>
                </c:pt>
                <c:pt idx="8">
                  <c:v>5.5232115532859928E-2</c:v>
                </c:pt>
                <c:pt idx="9">
                  <c:v>5.5215407209206861E-2</c:v>
                </c:pt>
                <c:pt idx="10">
                  <c:v>5.5221051761441084E-2</c:v>
                </c:pt>
                <c:pt idx="11">
                  <c:v>5.5230383567486052E-2</c:v>
                </c:pt>
                <c:pt idx="12">
                  <c:v>5.5242086615467333E-2</c:v>
                </c:pt>
                <c:pt idx="13">
                  <c:v>5.5251686023764401E-2</c:v>
                </c:pt>
                <c:pt idx="14">
                  <c:v>5.5267588289191184E-2</c:v>
                </c:pt>
                <c:pt idx="15">
                  <c:v>5.5263509944670171E-2</c:v>
                </c:pt>
                <c:pt idx="16">
                  <c:v>5.5265195997457758E-2</c:v>
                </c:pt>
                <c:pt idx="17">
                  <c:v>5.527034136537342E-2</c:v>
                </c:pt>
                <c:pt idx="18">
                  <c:v>5.5293926922024943E-2</c:v>
                </c:pt>
                <c:pt idx="19">
                  <c:v>5.5284381713610449E-2</c:v>
                </c:pt>
                <c:pt idx="20">
                  <c:v>5.5301991580696534E-2</c:v>
                </c:pt>
                <c:pt idx="21">
                  <c:v>5.5298405091515471E-2</c:v>
                </c:pt>
                <c:pt idx="22">
                  <c:v>5.5300926450136713E-2</c:v>
                </c:pt>
                <c:pt idx="23">
                  <c:v>5.5282610723106869E-2</c:v>
                </c:pt>
                <c:pt idx="24">
                  <c:v>5.5297731900080908E-2</c:v>
                </c:pt>
                <c:pt idx="25">
                  <c:v>5.5307422976964601E-2</c:v>
                </c:pt>
                <c:pt idx="26">
                  <c:v>5.5328406989203022E-2</c:v>
                </c:pt>
                <c:pt idx="27">
                  <c:v>5.5324296174399969E-2</c:v>
                </c:pt>
                <c:pt idx="28">
                  <c:v>5.5321066050353883E-2</c:v>
                </c:pt>
                <c:pt idx="29">
                  <c:v>5.5341679720703328E-2</c:v>
                </c:pt>
                <c:pt idx="30">
                  <c:v>5.5333445109749239E-2</c:v>
                </c:pt>
                <c:pt idx="31">
                  <c:v>5.534321892673516E-2</c:v>
                </c:pt>
                <c:pt idx="32">
                  <c:v>5.5328011222152952E-2</c:v>
                </c:pt>
                <c:pt idx="33">
                  <c:v>5.5319586076720564E-2</c:v>
                </c:pt>
                <c:pt idx="34">
                  <c:v>5.5340582085996973E-2</c:v>
                </c:pt>
                <c:pt idx="35">
                  <c:v>5.5336624533817533E-2</c:v>
                </c:pt>
                <c:pt idx="36">
                  <c:v>5.5316146348209867E-2</c:v>
                </c:pt>
                <c:pt idx="37">
                  <c:v>5.5317475960821844E-2</c:v>
                </c:pt>
                <c:pt idx="38">
                  <c:v>5.5309871555013802E-2</c:v>
                </c:pt>
                <c:pt idx="39">
                  <c:v>5.5325439323952529E-2</c:v>
                </c:pt>
                <c:pt idx="40">
                  <c:v>5.5319892819494801E-2</c:v>
                </c:pt>
                <c:pt idx="41">
                  <c:v>5.5328895981062221E-2</c:v>
                </c:pt>
                <c:pt idx="42">
                  <c:v>5.5343167287699238E-2</c:v>
                </c:pt>
                <c:pt idx="43">
                  <c:v>5.5358632153298643E-2</c:v>
                </c:pt>
                <c:pt idx="44">
                  <c:v>5.5361720762932096E-2</c:v>
                </c:pt>
                <c:pt idx="45">
                  <c:v>5.5358067122644461E-2</c:v>
                </c:pt>
                <c:pt idx="46">
                  <c:v>5.5363536504723351E-2</c:v>
                </c:pt>
                <c:pt idx="47">
                  <c:v>5.534549117167166E-2</c:v>
                </c:pt>
                <c:pt idx="48">
                  <c:v>5.5364662477055612E-2</c:v>
                </c:pt>
                <c:pt idx="49">
                  <c:v>5.5371830920254703E-2</c:v>
                </c:pt>
                <c:pt idx="50">
                  <c:v>5.537651973869747E-2</c:v>
                </c:pt>
                <c:pt idx="51">
                  <c:v>5.5366054510554576E-2</c:v>
                </c:pt>
                <c:pt idx="52">
                  <c:v>5.5357245822248581E-2</c:v>
                </c:pt>
                <c:pt idx="53">
                  <c:v>5.5370527613888443E-2</c:v>
                </c:pt>
                <c:pt idx="54">
                  <c:v>5.5388447999092857E-2</c:v>
                </c:pt>
                <c:pt idx="55">
                  <c:v>5.5380942634507463E-2</c:v>
                </c:pt>
                <c:pt idx="56">
                  <c:v>5.5387251469790434E-2</c:v>
                </c:pt>
                <c:pt idx="57">
                  <c:v>5.5396588928217159E-2</c:v>
                </c:pt>
                <c:pt idx="58">
                  <c:v>5.5394060393051864E-2</c:v>
                </c:pt>
                <c:pt idx="59">
                  <c:v>5.5403922028144786E-2</c:v>
                </c:pt>
                <c:pt idx="60">
                  <c:v>5.5409115026319691E-2</c:v>
                </c:pt>
                <c:pt idx="61">
                  <c:v>5.5405071301021076E-2</c:v>
                </c:pt>
                <c:pt idx="62">
                  <c:v>5.5405024441518583E-2</c:v>
                </c:pt>
                <c:pt idx="63">
                  <c:v>5.5406684224000032E-2</c:v>
                </c:pt>
                <c:pt idx="64">
                  <c:v>5.5421120743757275E-2</c:v>
                </c:pt>
                <c:pt idx="65">
                  <c:v>5.5426464701494212E-2</c:v>
                </c:pt>
                <c:pt idx="66">
                  <c:v>5.5445980367907016E-2</c:v>
                </c:pt>
                <c:pt idx="67">
                  <c:v>5.5466818146710069E-2</c:v>
                </c:pt>
                <c:pt idx="68">
                  <c:v>5.5478679115508529E-2</c:v>
                </c:pt>
                <c:pt idx="69">
                  <c:v>5.5481839278377756E-2</c:v>
                </c:pt>
                <c:pt idx="70">
                  <c:v>5.5470657248771059E-2</c:v>
                </c:pt>
                <c:pt idx="71">
                  <c:v>5.5478269718954434E-2</c:v>
                </c:pt>
                <c:pt idx="72">
                  <c:v>5.5474274955652415E-2</c:v>
                </c:pt>
                <c:pt idx="73">
                  <c:v>5.5463036383309204E-2</c:v>
                </c:pt>
                <c:pt idx="74">
                  <c:v>5.5453776106691131E-2</c:v>
                </c:pt>
                <c:pt idx="75">
                  <c:v>5.5472557360288742E-2</c:v>
                </c:pt>
                <c:pt idx="76">
                  <c:v>5.5481949802783731E-2</c:v>
                </c:pt>
                <c:pt idx="77">
                  <c:v>5.5485230093411185E-2</c:v>
                </c:pt>
                <c:pt idx="78">
                  <c:v>5.5503246394354569E-2</c:v>
                </c:pt>
                <c:pt idx="79">
                  <c:v>5.5503677569207398E-2</c:v>
                </c:pt>
                <c:pt idx="80">
                  <c:v>5.5498417894119592E-2</c:v>
                </c:pt>
                <c:pt idx="81">
                  <c:v>5.5494778618366873E-2</c:v>
                </c:pt>
                <c:pt idx="82">
                  <c:v>5.5477257580812366E-2</c:v>
                </c:pt>
                <c:pt idx="83">
                  <c:v>5.5472948763488204E-2</c:v>
                </c:pt>
                <c:pt idx="84">
                  <c:v>5.5499954338909196E-2</c:v>
                </c:pt>
                <c:pt idx="85">
                  <c:v>5.5512441781260455E-2</c:v>
                </c:pt>
                <c:pt idx="86">
                  <c:v>5.5516159793945787E-2</c:v>
                </c:pt>
                <c:pt idx="87">
                  <c:v>5.5516153386239254E-2</c:v>
                </c:pt>
                <c:pt idx="88">
                  <c:v>5.5504090112807575E-2</c:v>
                </c:pt>
                <c:pt idx="89">
                  <c:v>5.5509748024795511E-2</c:v>
                </c:pt>
                <c:pt idx="90">
                  <c:v>5.5517421500456875E-2</c:v>
                </c:pt>
                <c:pt idx="91">
                  <c:v>5.5510172584637245E-2</c:v>
                </c:pt>
                <c:pt idx="92">
                  <c:v>5.5505895928362081E-2</c:v>
                </c:pt>
                <c:pt idx="93">
                  <c:v>5.5486606443892729E-2</c:v>
                </c:pt>
                <c:pt idx="94">
                  <c:v>5.5496074491587118E-2</c:v>
                </c:pt>
                <c:pt idx="95">
                  <c:v>5.5508536898796347E-2</c:v>
                </c:pt>
                <c:pt idx="96">
                  <c:v>5.5502894873478738E-2</c:v>
                </c:pt>
                <c:pt idx="97">
                  <c:v>5.5496981247523572E-2</c:v>
                </c:pt>
                <c:pt idx="98">
                  <c:v>5.5483445802533012E-2</c:v>
                </c:pt>
                <c:pt idx="99">
                  <c:v>5.5491686810404221E-2</c:v>
                </c:pt>
                <c:pt idx="100">
                  <c:v>5.547670969890843E-2</c:v>
                </c:pt>
                <c:pt idx="101">
                  <c:v>5.5462036912128532E-2</c:v>
                </c:pt>
                <c:pt idx="102">
                  <c:v>5.5466103865660588E-2</c:v>
                </c:pt>
                <c:pt idx="103">
                  <c:v>5.5457711945782924E-2</c:v>
                </c:pt>
                <c:pt idx="104">
                  <c:v>5.5459346465755531E-2</c:v>
                </c:pt>
                <c:pt idx="105">
                  <c:v>5.547676320956374E-2</c:v>
                </c:pt>
                <c:pt idx="106">
                  <c:v>5.5506093868269171E-2</c:v>
                </c:pt>
                <c:pt idx="107">
                  <c:v>5.5502728282710675E-2</c:v>
                </c:pt>
                <c:pt idx="108">
                  <c:v>5.5499083474884074E-2</c:v>
                </c:pt>
                <c:pt idx="109">
                  <c:v>5.5528647653452189E-2</c:v>
                </c:pt>
                <c:pt idx="110">
                  <c:v>5.5535661077570714E-2</c:v>
                </c:pt>
                <c:pt idx="111">
                  <c:v>5.5522553154976347E-2</c:v>
                </c:pt>
                <c:pt idx="112">
                  <c:v>5.5533109104357437E-2</c:v>
                </c:pt>
                <c:pt idx="113">
                  <c:v>5.5552781027052231E-2</c:v>
                </c:pt>
                <c:pt idx="114">
                  <c:v>5.5527850400203506E-2</c:v>
                </c:pt>
                <c:pt idx="115">
                  <c:v>5.5533433899090677E-2</c:v>
                </c:pt>
                <c:pt idx="116">
                  <c:v>5.5522794729150581E-2</c:v>
                </c:pt>
                <c:pt idx="117">
                  <c:v>5.5509976543908539E-2</c:v>
                </c:pt>
                <c:pt idx="118">
                  <c:v>5.5504491691356871E-2</c:v>
                </c:pt>
                <c:pt idx="119">
                  <c:v>5.5508718890020244E-2</c:v>
                </c:pt>
                <c:pt idx="120">
                  <c:v>5.5509285559761631E-2</c:v>
                </c:pt>
                <c:pt idx="121">
                  <c:v>5.5511099943692369E-2</c:v>
                </c:pt>
                <c:pt idx="122">
                  <c:v>5.5497040105611073E-2</c:v>
                </c:pt>
                <c:pt idx="123">
                  <c:v>5.5480877629906583E-2</c:v>
                </c:pt>
                <c:pt idx="124">
                  <c:v>5.5455733937569127E-2</c:v>
                </c:pt>
                <c:pt idx="125">
                  <c:v>5.5475244210247431E-2</c:v>
                </c:pt>
                <c:pt idx="126">
                  <c:v>5.5455622231387947E-2</c:v>
                </c:pt>
                <c:pt idx="127">
                  <c:v>5.5472626604834284E-2</c:v>
                </c:pt>
                <c:pt idx="128">
                  <c:v>5.5446978739024363E-2</c:v>
                </c:pt>
                <c:pt idx="129">
                  <c:v>5.5448686407675543E-2</c:v>
                </c:pt>
                <c:pt idx="130">
                  <c:v>5.5439077775529207E-2</c:v>
                </c:pt>
                <c:pt idx="131">
                  <c:v>5.545588727111684E-2</c:v>
                </c:pt>
                <c:pt idx="132">
                  <c:v>5.5461802724882124E-2</c:v>
                </c:pt>
                <c:pt idx="133">
                  <c:v>5.5449208589509059E-2</c:v>
                </c:pt>
                <c:pt idx="134">
                  <c:v>5.5448585919782446E-2</c:v>
                </c:pt>
                <c:pt idx="135">
                  <c:v>5.5465883475392899E-2</c:v>
                </c:pt>
                <c:pt idx="136">
                  <c:v>5.5457643339589809E-2</c:v>
                </c:pt>
                <c:pt idx="137">
                  <c:v>5.5465394368295846E-2</c:v>
                </c:pt>
                <c:pt idx="138">
                  <c:v>5.5463547490606092E-2</c:v>
                </c:pt>
                <c:pt idx="139">
                  <c:v>5.5468653910942411E-2</c:v>
                </c:pt>
                <c:pt idx="140">
                  <c:v>5.5491205420207773E-2</c:v>
                </c:pt>
                <c:pt idx="141">
                  <c:v>5.5482031450846951E-2</c:v>
                </c:pt>
                <c:pt idx="142">
                  <c:v>5.5476928768432757E-2</c:v>
                </c:pt>
                <c:pt idx="143">
                  <c:v>5.5498209455580774E-2</c:v>
                </c:pt>
                <c:pt idx="144">
                  <c:v>5.5492537707706631E-2</c:v>
                </c:pt>
                <c:pt idx="145">
                  <c:v>5.5499196275896029E-2</c:v>
                </c:pt>
                <c:pt idx="146">
                  <c:v>5.5500540737616205E-2</c:v>
                </c:pt>
                <c:pt idx="147">
                  <c:v>5.5514542027225916E-2</c:v>
                </c:pt>
                <c:pt idx="148">
                  <c:v>5.5531164471871564E-2</c:v>
                </c:pt>
                <c:pt idx="149">
                  <c:v>5.554826472493711E-2</c:v>
                </c:pt>
                <c:pt idx="150">
                  <c:v>5.5540368459763012E-2</c:v>
                </c:pt>
                <c:pt idx="151">
                  <c:v>5.5542592441622449E-2</c:v>
                </c:pt>
                <c:pt idx="152">
                  <c:v>5.5547705656665246E-2</c:v>
                </c:pt>
                <c:pt idx="153">
                  <c:v>5.5545519050295429E-2</c:v>
                </c:pt>
                <c:pt idx="154">
                  <c:v>5.555675585321565E-2</c:v>
                </c:pt>
                <c:pt idx="155">
                  <c:v>5.5579017712981849E-2</c:v>
                </c:pt>
                <c:pt idx="156">
                  <c:v>5.5586818282311982E-2</c:v>
                </c:pt>
                <c:pt idx="157">
                  <c:v>5.5585203303593511E-2</c:v>
                </c:pt>
                <c:pt idx="158">
                  <c:v>5.556059231823305E-2</c:v>
                </c:pt>
                <c:pt idx="159">
                  <c:v>5.5566713724613588E-2</c:v>
                </c:pt>
                <c:pt idx="160">
                  <c:v>5.5568851186404797E-2</c:v>
                </c:pt>
                <c:pt idx="161">
                  <c:v>5.5578652035551242E-2</c:v>
                </c:pt>
                <c:pt idx="162">
                  <c:v>5.5563984459030616E-2</c:v>
                </c:pt>
                <c:pt idx="163">
                  <c:v>5.5555959526969907E-2</c:v>
                </c:pt>
                <c:pt idx="164">
                  <c:v>5.555109417795031E-2</c:v>
                </c:pt>
                <c:pt idx="165">
                  <c:v>5.5541446850426453E-2</c:v>
                </c:pt>
                <c:pt idx="166">
                  <c:v>5.5535176068495888E-2</c:v>
                </c:pt>
                <c:pt idx="167">
                  <c:v>5.555902640135852E-2</c:v>
                </c:pt>
                <c:pt idx="168">
                  <c:v>5.557290233911389E-2</c:v>
                </c:pt>
                <c:pt idx="169">
                  <c:v>5.5573138782857613E-2</c:v>
                </c:pt>
                <c:pt idx="170">
                  <c:v>5.5573508017275744E-2</c:v>
                </c:pt>
                <c:pt idx="171">
                  <c:v>5.556711172290351E-2</c:v>
                </c:pt>
                <c:pt idx="172">
                  <c:v>5.5573916981704163E-2</c:v>
                </c:pt>
                <c:pt idx="173">
                  <c:v>5.5589525672402065E-2</c:v>
                </c:pt>
                <c:pt idx="174">
                  <c:v>5.5588563738003492E-2</c:v>
                </c:pt>
                <c:pt idx="175">
                  <c:v>5.5599440217714013E-2</c:v>
                </c:pt>
                <c:pt idx="176">
                  <c:v>5.5601814632943287E-2</c:v>
                </c:pt>
                <c:pt idx="177">
                  <c:v>5.5631373716922304E-2</c:v>
                </c:pt>
                <c:pt idx="178">
                  <c:v>5.563736695088322E-2</c:v>
                </c:pt>
                <c:pt idx="179">
                  <c:v>5.5629245345276364E-2</c:v>
                </c:pt>
                <c:pt idx="180">
                  <c:v>5.5626753116092921E-2</c:v>
                </c:pt>
                <c:pt idx="181">
                  <c:v>5.5627125945716012E-2</c:v>
                </c:pt>
                <c:pt idx="182">
                  <c:v>5.5650008118396342E-2</c:v>
                </c:pt>
                <c:pt idx="183">
                  <c:v>5.5638681350366009E-2</c:v>
                </c:pt>
                <c:pt idx="184">
                  <c:v>5.5635190074763897E-2</c:v>
                </c:pt>
                <c:pt idx="185">
                  <c:v>5.5637244861717776E-2</c:v>
                </c:pt>
                <c:pt idx="186">
                  <c:v>5.5634735475004388E-2</c:v>
                </c:pt>
                <c:pt idx="187">
                  <c:v>5.5616871087510796E-2</c:v>
                </c:pt>
                <c:pt idx="188">
                  <c:v>5.5633193757745607E-2</c:v>
                </c:pt>
                <c:pt idx="189">
                  <c:v>5.5643952606210557E-2</c:v>
                </c:pt>
                <c:pt idx="190">
                  <c:v>5.566053276255107E-2</c:v>
                </c:pt>
                <c:pt idx="191">
                  <c:v>5.5652832646642579E-2</c:v>
                </c:pt>
                <c:pt idx="192">
                  <c:v>5.5660433818898611E-2</c:v>
                </c:pt>
                <c:pt idx="193">
                  <c:v>5.5688577776297182E-2</c:v>
                </c:pt>
                <c:pt idx="194">
                  <c:v>5.5682056189841761E-2</c:v>
                </c:pt>
                <c:pt idx="195">
                  <c:v>5.5678538110713799E-2</c:v>
                </c:pt>
                <c:pt idx="196">
                  <c:v>5.5669786921474639E-2</c:v>
                </c:pt>
                <c:pt idx="197">
                  <c:v>5.5654632722345339E-2</c:v>
                </c:pt>
                <c:pt idx="198">
                  <c:v>5.5674415017581406E-2</c:v>
                </c:pt>
                <c:pt idx="199">
                  <c:v>5.5680410955570379E-2</c:v>
                </c:pt>
                <c:pt idx="200">
                  <c:v>5.5682793447159061E-2</c:v>
                </c:pt>
                <c:pt idx="201">
                  <c:v>5.5694566188338533E-2</c:v>
                </c:pt>
                <c:pt idx="202">
                  <c:v>5.5690561601511882E-2</c:v>
                </c:pt>
                <c:pt idx="203">
                  <c:v>5.571484332848313E-2</c:v>
                </c:pt>
                <c:pt idx="204">
                  <c:v>5.5712041455886666E-2</c:v>
                </c:pt>
                <c:pt idx="205">
                  <c:v>5.5696458983818906E-2</c:v>
                </c:pt>
                <c:pt idx="206">
                  <c:v>5.5689346943250846E-2</c:v>
                </c:pt>
                <c:pt idx="207">
                  <c:v>5.5700843537722013E-2</c:v>
                </c:pt>
                <c:pt idx="208">
                  <c:v>5.5705197805880534E-2</c:v>
                </c:pt>
                <c:pt idx="209">
                  <c:v>5.5725956353301666E-2</c:v>
                </c:pt>
                <c:pt idx="210">
                  <c:v>5.5712251413183346E-2</c:v>
                </c:pt>
                <c:pt idx="211">
                  <c:v>5.5706715463596297E-2</c:v>
                </c:pt>
                <c:pt idx="212">
                  <c:v>5.5693010430897673E-2</c:v>
                </c:pt>
                <c:pt idx="213">
                  <c:v>5.5676289618760033E-2</c:v>
                </c:pt>
                <c:pt idx="214">
                  <c:v>5.5677604895882735E-2</c:v>
                </c:pt>
                <c:pt idx="215">
                  <c:v>5.565390833823243E-2</c:v>
                </c:pt>
                <c:pt idx="216">
                  <c:v>5.5651438492739069E-2</c:v>
                </c:pt>
                <c:pt idx="217">
                  <c:v>5.5647575735106716E-2</c:v>
                </c:pt>
                <c:pt idx="218">
                  <c:v>5.5650945074137384E-2</c:v>
                </c:pt>
                <c:pt idx="219">
                  <c:v>5.5652302971361443E-2</c:v>
                </c:pt>
                <c:pt idx="220">
                  <c:v>5.5649581579988776E-2</c:v>
                </c:pt>
                <c:pt idx="221">
                  <c:v>5.5656323440885516E-2</c:v>
                </c:pt>
                <c:pt idx="222">
                  <c:v>5.5636225510388562E-2</c:v>
                </c:pt>
                <c:pt idx="223">
                  <c:v>5.5649103681436919E-2</c:v>
                </c:pt>
                <c:pt idx="224">
                  <c:v>5.5658342691977933E-2</c:v>
                </c:pt>
                <c:pt idx="225">
                  <c:v>5.5670497001506725E-2</c:v>
                </c:pt>
                <c:pt idx="226">
                  <c:v>5.5670681781107179E-2</c:v>
                </c:pt>
                <c:pt idx="227">
                  <c:v>5.5655337283106718E-2</c:v>
                </c:pt>
                <c:pt idx="228">
                  <c:v>5.5666177283635355E-2</c:v>
                </c:pt>
                <c:pt idx="229">
                  <c:v>5.5657591776806473E-2</c:v>
                </c:pt>
                <c:pt idx="230">
                  <c:v>5.5670319279857203E-2</c:v>
                </c:pt>
                <c:pt idx="231">
                  <c:v>5.5659262361107131E-2</c:v>
                </c:pt>
                <c:pt idx="232">
                  <c:v>5.5658939185417554E-2</c:v>
                </c:pt>
                <c:pt idx="233">
                  <c:v>5.5671044044617105E-2</c:v>
                </c:pt>
                <c:pt idx="234">
                  <c:v>5.5677069432369136E-2</c:v>
                </c:pt>
                <c:pt idx="235">
                  <c:v>5.5694624881120085E-2</c:v>
                </c:pt>
                <c:pt idx="236">
                  <c:v>5.5677814806482859E-2</c:v>
                </c:pt>
                <c:pt idx="237">
                  <c:v>5.5685727640998078E-2</c:v>
                </c:pt>
                <c:pt idx="238">
                  <c:v>5.5708263832400726E-2</c:v>
                </c:pt>
                <c:pt idx="239">
                  <c:v>5.569209209341703E-2</c:v>
                </c:pt>
                <c:pt idx="240">
                  <c:v>5.5697223487773818E-2</c:v>
                </c:pt>
                <c:pt idx="241">
                  <c:v>5.5693627456362686E-2</c:v>
                </c:pt>
                <c:pt idx="242">
                  <c:v>5.5687214351737208E-2</c:v>
                </c:pt>
                <c:pt idx="243">
                  <c:v>5.57065016036132E-2</c:v>
                </c:pt>
                <c:pt idx="244">
                  <c:v>5.5711696994146083E-2</c:v>
                </c:pt>
                <c:pt idx="245">
                  <c:v>5.5728116432519861E-2</c:v>
                </c:pt>
                <c:pt idx="246">
                  <c:v>5.5734608606207658E-2</c:v>
                </c:pt>
                <c:pt idx="247">
                  <c:v>5.5738066764895872E-2</c:v>
                </c:pt>
                <c:pt idx="248">
                  <c:v>5.5731841558111762E-2</c:v>
                </c:pt>
                <c:pt idx="249">
                  <c:v>5.5760622111353672E-2</c:v>
                </c:pt>
                <c:pt idx="250">
                  <c:v>5.5734396699190343E-2</c:v>
                </c:pt>
                <c:pt idx="251">
                  <c:v>5.5719704439420384E-2</c:v>
                </c:pt>
                <c:pt idx="252">
                  <c:v>5.5722620379632687E-2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56-3F41-A367-84E74741A2A2}"/>
            </c:ext>
          </c:extLst>
        </c:ser>
        <c:ser>
          <c:idx val="9"/>
          <c:order val="9"/>
          <c:tx>
            <c:strRef>
              <c:f>'Vasicek Simulation (MLE)'!$N$1</c:f>
              <c:strCache>
                <c:ptCount val="1"/>
                <c:pt idx="0">
                  <c:v>Sims 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'Vasicek Simulation (MLE)'!$N$2:$N$254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5.5183014786675838E-2</c:v>
                </c:pt>
                <c:pt idx="2">
                  <c:v>5.5182729091668471E-2</c:v>
                </c:pt>
                <c:pt idx="3">
                  <c:v>5.5180429840501755E-2</c:v>
                </c:pt>
                <c:pt idx="4">
                  <c:v>5.5161625017079483E-2</c:v>
                </c:pt>
                <c:pt idx="5">
                  <c:v>5.5161138743553842E-2</c:v>
                </c:pt>
                <c:pt idx="6">
                  <c:v>5.5144529636323131E-2</c:v>
                </c:pt>
                <c:pt idx="7">
                  <c:v>5.5132602177592506E-2</c:v>
                </c:pt>
                <c:pt idx="8">
                  <c:v>5.5118070324879809E-2</c:v>
                </c:pt>
                <c:pt idx="9">
                  <c:v>5.5106895822406597E-2</c:v>
                </c:pt>
                <c:pt idx="10">
                  <c:v>5.5111606244387087E-2</c:v>
                </c:pt>
                <c:pt idx="11">
                  <c:v>5.5121216934047632E-2</c:v>
                </c:pt>
                <c:pt idx="12">
                  <c:v>5.5143616263702226E-2</c:v>
                </c:pt>
                <c:pt idx="13">
                  <c:v>5.5135985516449389E-2</c:v>
                </c:pt>
                <c:pt idx="14">
                  <c:v>5.5152631834106236E-2</c:v>
                </c:pt>
                <c:pt idx="15">
                  <c:v>5.5168925607795391E-2</c:v>
                </c:pt>
                <c:pt idx="16">
                  <c:v>5.5162938948964096E-2</c:v>
                </c:pt>
                <c:pt idx="17">
                  <c:v>5.5148807152347504E-2</c:v>
                </c:pt>
                <c:pt idx="18">
                  <c:v>5.5164641998633794E-2</c:v>
                </c:pt>
                <c:pt idx="19">
                  <c:v>5.5161829152028503E-2</c:v>
                </c:pt>
                <c:pt idx="20">
                  <c:v>5.5174234596010605E-2</c:v>
                </c:pt>
                <c:pt idx="21">
                  <c:v>5.5156287410686372E-2</c:v>
                </c:pt>
                <c:pt idx="22">
                  <c:v>5.5156268496042937E-2</c:v>
                </c:pt>
                <c:pt idx="23">
                  <c:v>5.5167854785039272E-2</c:v>
                </c:pt>
                <c:pt idx="24">
                  <c:v>5.5180995441109951E-2</c:v>
                </c:pt>
                <c:pt idx="25">
                  <c:v>5.5198064307819053E-2</c:v>
                </c:pt>
                <c:pt idx="26">
                  <c:v>5.5219048019219251E-2</c:v>
                </c:pt>
                <c:pt idx="27">
                  <c:v>5.5202285536574615E-2</c:v>
                </c:pt>
                <c:pt idx="28">
                  <c:v>5.5214341281329495E-2</c:v>
                </c:pt>
                <c:pt idx="29">
                  <c:v>5.5207816570498502E-2</c:v>
                </c:pt>
                <c:pt idx="30">
                  <c:v>5.5199155558177074E-2</c:v>
                </c:pt>
                <c:pt idx="31">
                  <c:v>5.5195687143553294E-2</c:v>
                </c:pt>
                <c:pt idx="32">
                  <c:v>5.5202369364799837E-2</c:v>
                </c:pt>
                <c:pt idx="33">
                  <c:v>5.5212284807158632E-2</c:v>
                </c:pt>
                <c:pt idx="34">
                  <c:v>5.5204079417443791E-2</c:v>
                </c:pt>
                <c:pt idx="35">
                  <c:v>5.5205986196354133E-2</c:v>
                </c:pt>
                <c:pt idx="36">
                  <c:v>5.5180957543737225E-2</c:v>
                </c:pt>
                <c:pt idx="37">
                  <c:v>5.517291176223954E-2</c:v>
                </c:pt>
                <c:pt idx="38">
                  <c:v>5.5161169843012586E-2</c:v>
                </c:pt>
                <c:pt idx="39">
                  <c:v>5.517329764981705E-2</c:v>
                </c:pt>
                <c:pt idx="40">
                  <c:v>5.5196172843066195E-2</c:v>
                </c:pt>
                <c:pt idx="41">
                  <c:v>5.5210174839215975E-2</c:v>
                </c:pt>
                <c:pt idx="42">
                  <c:v>5.5216401771546728E-2</c:v>
                </c:pt>
                <c:pt idx="43">
                  <c:v>5.521584477982161E-2</c:v>
                </c:pt>
                <c:pt idx="44">
                  <c:v>5.5217598080593733E-2</c:v>
                </c:pt>
                <c:pt idx="45">
                  <c:v>5.5222136904358919E-2</c:v>
                </c:pt>
                <c:pt idx="46">
                  <c:v>5.5218576673688159E-2</c:v>
                </c:pt>
                <c:pt idx="47">
                  <c:v>5.5225512003440946E-2</c:v>
                </c:pt>
                <c:pt idx="48">
                  <c:v>5.5226427652198526E-2</c:v>
                </c:pt>
                <c:pt idx="49">
                  <c:v>5.5232517362287431E-2</c:v>
                </c:pt>
                <c:pt idx="50">
                  <c:v>5.5228347500566446E-2</c:v>
                </c:pt>
                <c:pt idx="51">
                  <c:v>5.5217770115419319E-2</c:v>
                </c:pt>
                <c:pt idx="52">
                  <c:v>5.521697368299705E-2</c:v>
                </c:pt>
                <c:pt idx="53">
                  <c:v>5.5203120374478838E-2</c:v>
                </c:pt>
                <c:pt idx="54">
                  <c:v>5.5203348541578427E-2</c:v>
                </c:pt>
                <c:pt idx="55">
                  <c:v>5.518585919241796E-2</c:v>
                </c:pt>
                <c:pt idx="56">
                  <c:v>5.5183256141109603E-2</c:v>
                </c:pt>
                <c:pt idx="57">
                  <c:v>5.5177229846463116E-2</c:v>
                </c:pt>
                <c:pt idx="58">
                  <c:v>5.5175158306235123E-2</c:v>
                </c:pt>
                <c:pt idx="59">
                  <c:v>5.5170911056788459E-2</c:v>
                </c:pt>
                <c:pt idx="60">
                  <c:v>5.5159850425955316E-2</c:v>
                </c:pt>
                <c:pt idx="61">
                  <c:v>5.5168823362893867E-2</c:v>
                </c:pt>
                <c:pt idx="62">
                  <c:v>5.517317313487622E-2</c:v>
                </c:pt>
                <c:pt idx="63">
                  <c:v>5.5146493723199325E-2</c:v>
                </c:pt>
                <c:pt idx="64">
                  <c:v>5.5149192820540059E-2</c:v>
                </c:pt>
                <c:pt idx="65">
                  <c:v>5.5154527439990143E-2</c:v>
                </c:pt>
                <c:pt idx="66">
                  <c:v>5.5189881507786268E-2</c:v>
                </c:pt>
                <c:pt idx="67">
                  <c:v>5.5199075492860017E-2</c:v>
                </c:pt>
                <c:pt idx="68">
                  <c:v>5.5209419399011098E-2</c:v>
                </c:pt>
                <c:pt idx="69">
                  <c:v>5.5225337865470847E-2</c:v>
                </c:pt>
                <c:pt idx="70">
                  <c:v>5.5236186943571471E-2</c:v>
                </c:pt>
                <c:pt idx="71">
                  <c:v>5.5242097304994485E-2</c:v>
                </c:pt>
                <c:pt idx="72">
                  <c:v>5.5264579078673909E-2</c:v>
                </c:pt>
                <c:pt idx="73">
                  <c:v>5.5259792054459807E-2</c:v>
                </c:pt>
                <c:pt idx="74">
                  <c:v>5.5274118739027461E-2</c:v>
                </c:pt>
                <c:pt idx="75">
                  <c:v>5.5271664546300336E-2</c:v>
                </c:pt>
                <c:pt idx="76">
                  <c:v>5.5298285116539281E-2</c:v>
                </c:pt>
                <c:pt idx="77">
                  <c:v>5.5287550832285773E-2</c:v>
                </c:pt>
                <c:pt idx="78">
                  <c:v>5.5276074258647417E-2</c:v>
                </c:pt>
                <c:pt idx="79">
                  <c:v>5.5275438218638381E-2</c:v>
                </c:pt>
                <c:pt idx="80">
                  <c:v>5.527630920979279E-2</c:v>
                </c:pt>
                <c:pt idx="81">
                  <c:v>5.527105110602288E-2</c:v>
                </c:pt>
                <c:pt idx="82">
                  <c:v>5.526252635010076E-2</c:v>
                </c:pt>
                <c:pt idx="83">
                  <c:v>5.5240980598435706E-2</c:v>
                </c:pt>
                <c:pt idx="84">
                  <c:v>5.5226409268187115E-2</c:v>
                </c:pt>
                <c:pt idx="85">
                  <c:v>5.5227859990252592E-2</c:v>
                </c:pt>
                <c:pt idx="86">
                  <c:v>5.524952882746971E-2</c:v>
                </c:pt>
                <c:pt idx="87">
                  <c:v>5.5241594644348059E-2</c:v>
                </c:pt>
                <c:pt idx="88">
                  <c:v>5.522763280168607E-2</c:v>
                </c:pt>
                <c:pt idx="89">
                  <c:v>5.5232069528986009E-2</c:v>
                </c:pt>
                <c:pt idx="90">
                  <c:v>5.5231570195927747E-2</c:v>
                </c:pt>
                <c:pt idx="91">
                  <c:v>5.5239781392318957E-2</c:v>
                </c:pt>
                <c:pt idx="92">
                  <c:v>5.5238322302100656E-2</c:v>
                </c:pt>
                <c:pt idx="93">
                  <c:v>5.5237835917457762E-2</c:v>
                </c:pt>
                <c:pt idx="94">
                  <c:v>5.5236328434431603E-2</c:v>
                </c:pt>
                <c:pt idx="95">
                  <c:v>5.5227245383102357E-2</c:v>
                </c:pt>
                <c:pt idx="96">
                  <c:v>5.5213709778603855E-2</c:v>
                </c:pt>
                <c:pt idx="97">
                  <c:v>5.5205203106257962E-2</c:v>
                </c:pt>
                <c:pt idx="98">
                  <c:v>5.5199346147352467E-2</c:v>
                </c:pt>
                <c:pt idx="99">
                  <c:v>5.5202488060654829E-2</c:v>
                </c:pt>
                <c:pt idx="100">
                  <c:v>5.5233052367993335E-2</c:v>
                </c:pt>
                <c:pt idx="101">
                  <c:v>5.5220654896910359E-2</c:v>
                </c:pt>
                <c:pt idx="102">
                  <c:v>5.52241295340785E-2</c:v>
                </c:pt>
                <c:pt idx="103">
                  <c:v>5.5230832977398031E-2</c:v>
                </c:pt>
                <c:pt idx="104">
                  <c:v>5.5222723146835954E-2</c:v>
                </c:pt>
                <c:pt idx="105">
                  <c:v>5.522578111737958E-2</c:v>
                </c:pt>
                <c:pt idx="106">
                  <c:v>5.5224899981857485E-2</c:v>
                </c:pt>
                <c:pt idx="107">
                  <c:v>5.5240452706111144E-2</c:v>
                </c:pt>
                <c:pt idx="108">
                  <c:v>5.5246419366362265E-2</c:v>
                </c:pt>
                <c:pt idx="109">
                  <c:v>5.5250040434102428E-2</c:v>
                </c:pt>
                <c:pt idx="110">
                  <c:v>5.5258213187827393E-2</c:v>
                </c:pt>
                <c:pt idx="111">
                  <c:v>5.5269701139600474E-2</c:v>
                </c:pt>
                <c:pt idx="112">
                  <c:v>5.5287392810460231E-2</c:v>
                </c:pt>
                <c:pt idx="113">
                  <c:v>5.5292432620876908E-2</c:v>
                </c:pt>
                <c:pt idx="114">
                  <c:v>5.5304894649236713E-2</c:v>
                </c:pt>
                <c:pt idx="115">
                  <c:v>5.5305515944611944E-2</c:v>
                </c:pt>
                <c:pt idx="116">
                  <c:v>5.5299472688690947E-2</c:v>
                </c:pt>
                <c:pt idx="117">
                  <c:v>5.5287438939596492E-2</c:v>
                </c:pt>
                <c:pt idx="118">
                  <c:v>5.5275634442887488E-2</c:v>
                </c:pt>
                <c:pt idx="119">
                  <c:v>5.5255240922179594E-2</c:v>
                </c:pt>
                <c:pt idx="120">
                  <c:v>5.5242696594306979E-2</c:v>
                </c:pt>
                <c:pt idx="121">
                  <c:v>5.5262590468247719E-2</c:v>
                </c:pt>
                <c:pt idx="122">
                  <c:v>5.5262436623584828E-2</c:v>
                </c:pt>
                <c:pt idx="123">
                  <c:v>5.5294537954608661E-2</c:v>
                </c:pt>
                <c:pt idx="124">
                  <c:v>5.5288964064248707E-2</c:v>
                </c:pt>
                <c:pt idx="125">
                  <c:v>5.5287460668385864E-2</c:v>
                </c:pt>
                <c:pt idx="126">
                  <c:v>5.5295359804788877E-2</c:v>
                </c:pt>
                <c:pt idx="127">
                  <c:v>5.5298432723220096E-2</c:v>
                </c:pt>
                <c:pt idx="128">
                  <c:v>5.5304242015977667E-2</c:v>
                </c:pt>
                <c:pt idx="129">
                  <c:v>5.5300097764693593E-2</c:v>
                </c:pt>
                <c:pt idx="130">
                  <c:v>5.5298762513185155E-2</c:v>
                </c:pt>
                <c:pt idx="131">
                  <c:v>5.5298436165093771E-2</c:v>
                </c:pt>
                <c:pt idx="132">
                  <c:v>5.5284717827527627E-2</c:v>
                </c:pt>
                <c:pt idx="133">
                  <c:v>5.5275732326536466E-2</c:v>
                </c:pt>
                <c:pt idx="134">
                  <c:v>5.5276784996040024E-2</c:v>
                </c:pt>
                <c:pt idx="135">
                  <c:v>5.5278001290464202E-2</c:v>
                </c:pt>
                <c:pt idx="136">
                  <c:v>5.5269242127256701E-2</c:v>
                </c:pt>
                <c:pt idx="137">
                  <c:v>5.5270507430773594E-2</c:v>
                </c:pt>
                <c:pt idx="138">
                  <c:v>5.5291870618612231E-2</c:v>
                </c:pt>
                <c:pt idx="139">
                  <c:v>5.5288421226493766E-2</c:v>
                </c:pt>
                <c:pt idx="140">
                  <c:v>5.5287581338258354E-2</c:v>
                </c:pt>
                <c:pt idx="141">
                  <c:v>5.5288328743098726E-2</c:v>
                </c:pt>
                <c:pt idx="142">
                  <c:v>5.5295546042666816E-2</c:v>
                </c:pt>
                <c:pt idx="143">
                  <c:v>5.533660650344855E-2</c:v>
                </c:pt>
                <c:pt idx="144">
                  <c:v>5.5342170064821304E-2</c:v>
                </c:pt>
                <c:pt idx="145">
                  <c:v>5.5327586841735638E-2</c:v>
                </c:pt>
                <c:pt idx="146">
                  <c:v>5.532034877847395E-2</c:v>
                </c:pt>
                <c:pt idx="147">
                  <c:v>5.5330320449763382E-2</c:v>
                </c:pt>
                <c:pt idx="148">
                  <c:v>5.5335067437941851E-2</c:v>
                </c:pt>
                <c:pt idx="149">
                  <c:v>5.5339937114873727E-2</c:v>
                </c:pt>
                <c:pt idx="150">
                  <c:v>5.5345585652271753E-2</c:v>
                </c:pt>
                <c:pt idx="151">
                  <c:v>5.5356315437730126E-2</c:v>
                </c:pt>
                <c:pt idx="152">
                  <c:v>5.5362831565616839E-2</c:v>
                </c:pt>
                <c:pt idx="153">
                  <c:v>5.5355801746415009E-2</c:v>
                </c:pt>
                <c:pt idx="154">
                  <c:v>5.536457913692415E-2</c:v>
                </c:pt>
                <c:pt idx="155">
                  <c:v>5.5379317963157662E-2</c:v>
                </c:pt>
                <c:pt idx="156">
                  <c:v>5.5374377802346296E-2</c:v>
                </c:pt>
                <c:pt idx="157">
                  <c:v>5.5385846619045588E-2</c:v>
                </c:pt>
                <c:pt idx="158">
                  <c:v>5.5388074725353939E-2</c:v>
                </c:pt>
                <c:pt idx="159">
                  <c:v>5.5388692592042849E-2</c:v>
                </c:pt>
                <c:pt idx="160">
                  <c:v>5.5392677205836925E-2</c:v>
                </c:pt>
                <c:pt idx="161">
                  <c:v>5.5393251858630636E-2</c:v>
                </c:pt>
                <c:pt idx="162">
                  <c:v>5.5391806574857497E-2</c:v>
                </c:pt>
                <c:pt idx="163">
                  <c:v>5.5396446597478534E-2</c:v>
                </c:pt>
                <c:pt idx="164">
                  <c:v>5.5406850690166098E-2</c:v>
                </c:pt>
                <c:pt idx="165">
                  <c:v>5.5416815880558468E-2</c:v>
                </c:pt>
                <c:pt idx="166">
                  <c:v>5.5425372814416431E-2</c:v>
                </c:pt>
                <c:pt idx="167">
                  <c:v>5.542754810316778E-2</c:v>
                </c:pt>
                <c:pt idx="168">
                  <c:v>5.5430337986772625E-2</c:v>
                </c:pt>
                <c:pt idx="169">
                  <c:v>5.5426343137641991E-2</c:v>
                </c:pt>
                <c:pt idx="170">
                  <c:v>5.5428879342045295E-2</c:v>
                </c:pt>
                <c:pt idx="171">
                  <c:v>5.5438385669789834E-2</c:v>
                </c:pt>
                <c:pt idx="172">
                  <c:v>5.544688520728077E-2</c:v>
                </c:pt>
                <c:pt idx="173">
                  <c:v>5.5449869233593761E-2</c:v>
                </c:pt>
                <c:pt idx="174">
                  <c:v>5.5451163214685108E-2</c:v>
                </c:pt>
                <c:pt idx="175">
                  <c:v>5.5449793654028398E-2</c:v>
                </c:pt>
                <c:pt idx="176">
                  <c:v>5.5456545855743049E-2</c:v>
                </c:pt>
                <c:pt idx="177">
                  <c:v>5.5463259925931818E-2</c:v>
                </c:pt>
                <c:pt idx="178">
                  <c:v>5.5477974237352665E-2</c:v>
                </c:pt>
                <c:pt idx="179">
                  <c:v>5.5484767605073766E-2</c:v>
                </c:pt>
                <c:pt idx="180">
                  <c:v>5.5486343247341197E-2</c:v>
                </c:pt>
                <c:pt idx="181">
                  <c:v>5.5471467897986626E-2</c:v>
                </c:pt>
                <c:pt idx="182">
                  <c:v>5.5456021575344808E-2</c:v>
                </c:pt>
                <c:pt idx="183">
                  <c:v>5.5452431044197989E-2</c:v>
                </c:pt>
                <c:pt idx="184">
                  <c:v>5.5449492319933721E-2</c:v>
                </c:pt>
                <c:pt idx="185">
                  <c:v>5.5443055983624916E-2</c:v>
                </c:pt>
                <c:pt idx="186">
                  <c:v>5.5457631303475835E-2</c:v>
                </c:pt>
                <c:pt idx="187">
                  <c:v>5.546618281777535E-2</c:v>
                </c:pt>
                <c:pt idx="188">
                  <c:v>5.5465453122380055E-2</c:v>
                </c:pt>
                <c:pt idx="189">
                  <c:v>5.5451233657278561E-2</c:v>
                </c:pt>
                <c:pt idx="190">
                  <c:v>5.5455363304647613E-2</c:v>
                </c:pt>
                <c:pt idx="191">
                  <c:v>5.546044284824516E-2</c:v>
                </c:pt>
                <c:pt idx="192">
                  <c:v>5.5465755335751828E-2</c:v>
                </c:pt>
                <c:pt idx="193">
                  <c:v>5.5468121996619983E-2</c:v>
                </c:pt>
                <c:pt idx="194">
                  <c:v>5.5462746712762523E-2</c:v>
                </c:pt>
                <c:pt idx="195">
                  <c:v>5.5479143516759533E-2</c:v>
                </c:pt>
                <c:pt idx="196">
                  <c:v>5.5485392994942061E-2</c:v>
                </c:pt>
                <c:pt idx="197">
                  <c:v>5.5501991480039654E-2</c:v>
                </c:pt>
                <c:pt idx="198">
                  <c:v>5.5500574171764044E-2</c:v>
                </c:pt>
                <c:pt idx="199">
                  <c:v>5.5508305368993767E-2</c:v>
                </c:pt>
                <c:pt idx="200">
                  <c:v>5.5502376544487864E-2</c:v>
                </c:pt>
                <c:pt idx="201">
                  <c:v>5.5500486935064416E-2</c:v>
                </c:pt>
                <c:pt idx="202">
                  <c:v>5.5477880584593624E-2</c:v>
                </c:pt>
                <c:pt idx="203">
                  <c:v>5.5463872234454432E-2</c:v>
                </c:pt>
                <c:pt idx="204">
                  <c:v>5.546414482491397E-2</c:v>
                </c:pt>
                <c:pt idx="205">
                  <c:v>5.5449351454551495E-2</c:v>
                </c:pt>
                <c:pt idx="206">
                  <c:v>5.544457693576222E-2</c:v>
                </c:pt>
                <c:pt idx="207">
                  <c:v>5.543137297060733E-2</c:v>
                </c:pt>
                <c:pt idx="208">
                  <c:v>5.5425614551834146E-2</c:v>
                </c:pt>
                <c:pt idx="209">
                  <c:v>5.5447135877284365E-2</c:v>
                </c:pt>
                <c:pt idx="210">
                  <c:v>5.5437794982794206E-2</c:v>
                </c:pt>
                <c:pt idx="211">
                  <c:v>5.5437449563934219E-2</c:v>
                </c:pt>
                <c:pt idx="212">
                  <c:v>5.5431036243408623E-2</c:v>
                </c:pt>
                <c:pt idx="213">
                  <c:v>5.5424402075807393E-2</c:v>
                </c:pt>
                <c:pt idx="214">
                  <c:v>5.5423587055623211E-2</c:v>
                </c:pt>
                <c:pt idx="215">
                  <c:v>5.5422076812306084E-2</c:v>
                </c:pt>
                <c:pt idx="216">
                  <c:v>5.5412751671219798E-2</c:v>
                </c:pt>
                <c:pt idx="217">
                  <c:v>5.5406608402461741E-2</c:v>
                </c:pt>
                <c:pt idx="218">
                  <c:v>5.5414301722458141E-2</c:v>
                </c:pt>
                <c:pt idx="219">
                  <c:v>5.5422198275677903E-2</c:v>
                </c:pt>
                <c:pt idx="220">
                  <c:v>5.5414480277949242E-2</c:v>
                </c:pt>
                <c:pt idx="221">
                  <c:v>5.5412731822510192E-2</c:v>
                </c:pt>
                <c:pt idx="222">
                  <c:v>5.541611953469288E-2</c:v>
                </c:pt>
                <c:pt idx="223">
                  <c:v>5.5432444747436124E-2</c:v>
                </c:pt>
                <c:pt idx="224">
                  <c:v>5.5416910615240338E-2</c:v>
                </c:pt>
                <c:pt idx="225">
                  <c:v>5.5419582742126952E-2</c:v>
                </c:pt>
                <c:pt idx="226">
                  <c:v>5.5417287192191085E-2</c:v>
                </c:pt>
                <c:pt idx="227">
                  <c:v>5.5421351910195912E-2</c:v>
                </c:pt>
                <c:pt idx="228">
                  <c:v>5.5420710227060146E-2</c:v>
                </c:pt>
                <c:pt idx="229">
                  <c:v>5.541426089053595E-2</c:v>
                </c:pt>
                <c:pt idx="230">
                  <c:v>5.5419014468155482E-2</c:v>
                </c:pt>
                <c:pt idx="231">
                  <c:v>5.5429769150059795E-2</c:v>
                </c:pt>
                <c:pt idx="232">
                  <c:v>5.5449549793614217E-2</c:v>
                </c:pt>
                <c:pt idx="233">
                  <c:v>5.5440438854675041E-2</c:v>
                </c:pt>
                <c:pt idx="234">
                  <c:v>5.5451851377479371E-2</c:v>
                </c:pt>
                <c:pt idx="235">
                  <c:v>5.5455402488473311E-2</c:v>
                </c:pt>
                <c:pt idx="236">
                  <c:v>5.545905823666205E-2</c:v>
                </c:pt>
                <c:pt idx="237">
                  <c:v>5.5462776518662195E-2</c:v>
                </c:pt>
                <c:pt idx="238">
                  <c:v>5.5449295598969085E-2</c:v>
                </c:pt>
                <c:pt idx="239">
                  <c:v>5.5444488594792049E-2</c:v>
                </c:pt>
                <c:pt idx="240">
                  <c:v>5.5461771624489745E-2</c:v>
                </c:pt>
                <c:pt idx="241">
                  <c:v>5.5437023911828615E-2</c:v>
                </c:pt>
                <c:pt idx="242">
                  <c:v>5.544481011427381E-2</c:v>
                </c:pt>
                <c:pt idx="243">
                  <c:v>5.5453217312033509E-2</c:v>
                </c:pt>
                <c:pt idx="244">
                  <c:v>5.5470698874188706E-2</c:v>
                </c:pt>
                <c:pt idx="245">
                  <c:v>5.5469286011844705E-2</c:v>
                </c:pt>
                <c:pt idx="246">
                  <c:v>5.5462560929876129E-2</c:v>
                </c:pt>
                <c:pt idx="247">
                  <c:v>5.5448937045993914E-2</c:v>
                </c:pt>
                <c:pt idx="248">
                  <c:v>5.5442767930165025E-2</c:v>
                </c:pt>
                <c:pt idx="249">
                  <c:v>5.5450595839785337E-2</c:v>
                </c:pt>
                <c:pt idx="250">
                  <c:v>5.5452784379648151E-2</c:v>
                </c:pt>
                <c:pt idx="251">
                  <c:v>5.5461265220461159E-2</c:v>
                </c:pt>
                <c:pt idx="252">
                  <c:v>5.5462564362341975E-2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456-3F41-A367-84E74741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76"/>
        <c:axId val="1807458095"/>
      </c:lineChart>
      <c:catAx>
        <c:axId val="3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58095"/>
        <c:crosses val="autoZero"/>
        <c:auto val="1"/>
        <c:lblAlgn val="ctr"/>
        <c:lblOffset val="100"/>
        <c:noMultiLvlLbl val="0"/>
      </c:catAx>
      <c:valAx>
        <c:axId val="1807458095"/>
        <c:scaling>
          <c:orientation val="minMax"/>
          <c:min val="5.45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solidFill>
                  <a:schemeClr val="tx2"/>
                </a:solidFill>
              </a:rPr>
              <a:t>CIR</a:t>
            </a:r>
            <a:r>
              <a:rPr lang="en-US" sz="1800" b="1" baseline="0">
                <a:solidFill>
                  <a:schemeClr val="tx2"/>
                </a:solidFill>
              </a:rPr>
              <a:t> Interest Rate Model</a:t>
            </a:r>
            <a:endParaRPr lang="en-US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 Parameter Est (MLE) )'!$D$1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'CIR Parameter Est (MLE) )'!$B$2:$B$252</c:f>
              <c:numCache>
                <c:formatCode>m/d/yy</c:formatCode>
                <c:ptCount val="251"/>
                <c:pt idx="0">
                  <c:v>45446</c:v>
                </c:pt>
                <c:pt idx="1">
                  <c:v>45443</c:v>
                </c:pt>
                <c:pt idx="2">
                  <c:v>45442</c:v>
                </c:pt>
                <c:pt idx="3">
                  <c:v>45441</c:v>
                </c:pt>
                <c:pt idx="4">
                  <c:v>45440</c:v>
                </c:pt>
                <c:pt idx="5">
                  <c:v>45436</c:v>
                </c:pt>
                <c:pt idx="6">
                  <c:v>45435</c:v>
                </c:pt>
                <c:pt idx="7">
                  <c:v>45434</c:v>
                </c:pt>
                <c:pt idx="8">
                  <c:v>45433</c:v>
                </c:pt>
                <c:pt idx="9">
                  <c:v>45432</c:v>
                </c:pt>
                <c:pt idx="10">
                  <c:v>45429</c:v>
                </c:pt>
                <c:pt idx="11">
                  <c:v>45428</c:v>
                </c:pt>
                <c:pt idx="12">
                  <c:v>45427</c:v>
                </c:pt>
                <c:pt idx="13">
                  <c:v>45426</c:v>
                </c:pt>
                <c:pt idx="14">
                  <c:v>45425</c:v>
                </c:pt>
                <c:pt idx="15">
                  <c:v>45422</c:v>
                </c:pt>
                <c:pt idx="16">
                  <c:v>45421</c:v>
                </c:pt>
                <c:pt idx="17">
                  <c:v>45420</c:v>
                </c:pt>
                <c:pt idx="18">
                  <c:v>45419</c:v>
                </c:pt>
                <c:pt idx="19">
                  <c:v>45418</c:v>
                </c:pt>
                <c:pt idx="20">
                  <c:v>45415</c:v>
                </c:pt>
                <c:pt idx="21">
                  <c:v>45414</c:v>
                </c:pt>
                <c:pt idx="22">
                  <c:v>45413</c:v>
                </c:pt>
                <c:pt idx="23">
                  <c:v>45412</c:v>
                </c:pt>
                <c:pt idx="24">
                  <c:v>45411</c:v>
                </c:pt>
                <c:pt idx="25">
                  <c:v>45408</c:v>
                </c:pt>
                <c:pt idx="26">
                  <c:v>45407</c:v>
                </c:pt>
                <c:pt idx="27">
                  <c:v>45406</c:v>
                </c:pt>
                <c:pt idx="28">
                  <c:v>45405</c:v>
                </c:pt>
                <c:pt idx="29">
                  <c:v>45404</c:v>
                </c:pt>
                <c:pt idx="30">
                  <c:v>45401</c:v>
                </c:pt>
                <c:pt idx="31">
                  <c:v>45400</c:v>
                </c:pt>
                <c:pt idx="32">
                  <c:v>45399</c:v>
                </c:pt>
                <c:pt idx="33">
                  <c:v>45398</c:v>
                </c:pt>
                <c:pt idx="34">
                  <c:v>45397</c:v>
                </c:pt>
                <c:pt idx="35">
                  <c:v>45394</c:v>
                </c:pt>
                <c:pt idx="36">
                  <c:v>45393</c:v>
                </c:pt>
                <c:pt idx="37">
                  <c:v>45392</c:v>
                </c:pt>
                <c:pt idx="38">
                  <c:v>45391</c:v>
                </c:pt>
                <c:pt idx="39">
                  <c:v>45390</c:v>
                </c:pt>
                <c:pt idx="40">
                  <c:v>45387</c:v>
                </c:pt>
                <c:pt idx="41">
                  <c:v>45386</c:v>
                </c:pt>
                <c:pt idx="42">
                  <c:v>45385</c:v>
                </c:pt>
                <c:pt idx="43">
                  <c:v>45384</c:v>
                </c:pt>
                <c:pt idx="44">
                  <c:v>45383</c:v>
                </c:pt>
                <c:pt idx="45">
                  <c:v>45379</c:v>
                </c:pt>
                <c:pt idx="46">
                  <c:v>45378</c:v>
                </c:pt>
                <c:pt idx="47">
                  <c:v>45377</c:v>
                </c:pt>
                <c:pt idx="48">
                  <c:v>45376</c:v>
                </c:pt>
                <c:pt idx="49">
                  <c:v>45373</c:v>
                </c:pt>
                <c:pt idx="50">
                  <c:v>45372</c:v>
                </c:pt>
                <c:pt idx="51">
                  <c:v>45371</c:v>
                </c:pt>
                <c:pt idx="52">
                  <c:v>45370</c:v>
                </c:pt>
                <c:pt idx="53">
                  <c:v>45369</c:v>
                </c:pt>
                <c:pt idx="54">
                  <c:v>45366</c:v>
                </c:pt>
                <c:pt idx="55">
                  <c:v>45365</c:v>
                </c:pt>
                <c:pt idx="56">
                  <c:v>45364</c:v>
                </c:pt>
                <c:pt idx="57">
                  <c:v>45363</c:v>
                </c:pt>
                <c:pt idx="58">
                  <c:v>45362</c:v>
                </c:pt>
                <c:pt idx="59">
                  <c:v>45359</c:v>
                </c:pt>
                <c:pt idx="60">
                  <c:v>45358</c:v>
                </c:pt>
                <c:pt idx="61">
                  <c:v>45357</c:v>
                </c:pt>
                <c:pt idx="62">
                  <c:v>45356</c:v>
                </c:pt>
                <c:pt idx="63">
                  <c:v>45355</c:v>
                </c:pt>
                <c:pt idx="64">
                  <c:v>45352</c:v>
                </c:pt>
                <c:pt idx="65">
                  <c:v>45351</c:v>
                </c:pt>
                <c:pt idx="66">
                  <c:v>45350</c:v>
                </c:pt>
                <c:pt idx="67">
                  <c:v>45349</c:v>
                </c:pt>
                <c:pt idx="68">
                  <c:v>45348</c:v>
                </c:pt>
                <c:pt idx="69">
                  <c:v>45345</c:v>
                </c:pt>
                <c:pt idx="70">
                  <c:v>45344</c:v>
                </c:pt>
                <c:pt idx="71">
                  <c:v>45343</c:v>
                </c:pt>
                <c:pt idx="72">
                  <c:v>45342</c:v>
                </c:pt>
                <c:pt idx="73">
                  <c:v>45338</c:v>
                </c:pt>
                <c:pt idx="74">
                  <c:v>45337</c:v>
                </c:pt>
                <c:pt idx="75">
                  <c:v>45336</c:v>
                </c:pt>
                <c:pt idx="76">
                  <c:v>45335</c:v>
                </c:pt>
                <c:pt idx="77">
                  <c:v>45334</c:v>
                </c:pt>
                <c:pt idx="78">
                  <c:v>45331</c:v>
                </c:pt>
                <c:pt idx="79">
                  <c:v>45330</c:v>
                </c:pt>
                <c:pt idx="80">
                  <c:v>45329</c:v>
                </c:pt>
                <c:pt idx="81">
                  <c:v>45328</c:v>
                </c:pt>
                <c:pt idx="82">
                  <c:v>45327</c:v>
                </c:pt>
                <c:pt idx="83">
                  <c:v>45324</c:v>
                </c:pt>
                <c:pt idx="84">
                  <c:v>45323</c:v>
                </c:pt>
                <c:pt idx="85">
                  <c:v>45322</c:v>
                </c:pt>
                <c:pt idx="86">
                  <c:v>45321</c:v>
                </c:pt>
                <c:pt idx="87">
                  <c:v>45320</c:v>
                </c:pt>
                <c:pt idx="88">
                  <c:v>45317</c:v>
                </c:pt>
                <c:pt idx="89">
                  <c:v>45316</c:v>
                </c:pt>
                <c:pt idx="90">
                  <c:v>45315</c:v>
                </c:pt>
                <c:pt idx="91">
                  <c:v>45314</c:v>
                </c:pt>
                <c:pt idx="92">
                  <c:v>45313</c:v>
                </c:pt>
                <c:pt idx="93">
                  <c:v>45310</c:v>
                </c:pt>
                <c:pt idx="94">
                  <c:v>45309</c:v>
                </c:pt>
                <c:pt idx="95">
                  <c:v>45308</c:v>
                </c:pt>
                <c:pt idx="96">
                  <c:v>45307</c:v>
                </c:pt>
                <c:pt idx="97">
                  <c:v>45303</c:v>
                </c:pt>
                <c:pt idx="98">
                  <c:v>45302</c:v>
                </c:pt>
                <c:pt idx="99">
                  <c:v>45301</c:v>
                </c:pt>
                <c:pt idx="100">
                  <c:v>45300</c:v>
                </c:pt>
                <c:pt idx="101">
                  <c:v>45299</c:v>
                </c:pt>
                <c:pt idx="102">
                  <c:v>45296</c:v>
                </c:pt>
                <c:pt idx="103">
                  <c:v>45295</c:v>
                </c:pt>
                <c:pt idx="104">
                  <c:v>45294</c:v>
                </c:pt>
                <c:pt idx="105">
                  <c:v>45293</c:v>
                </c:pt>
                <c:pt idx="106">
                  <c:v>45289</c:v>
                </c:pt>
                <c:pt idx="107">
                  <c:v>45288</c:v>
                </c:pt>
                <c:pt idx="108">
                  <c:v>45287</c:v>
                </c:pt>
                <c:pt idx="109">
                  <c:v>45286</c:v>
                </c:pt>
                <c:pt idx="110">
                  <c:v>45282</c:v>
                </c:pt>
                <c:pt idx="111">
                  <c:v>45281</c:v>
                </c:pt>
                <c:pt idx="112">
                  <c:v>45280</c:v>
                </c:pt>
                <c:pt idx="113">
                  <c:v>45279</c:v>
                </c:pt>
                <c:pt idx="114">
                  <c:v>45278</c:v>
                </c:pt>
                <c:pt idx="115">
                  <c:v>45275</c:v>
                </c:pt>
                <c:pt idx="116">
                  <c:v>45274</c:v>
                </c:pt>
                <c:pt idx="117">
                  <c:v>45273</c:v>
                </c:pt>
                <c:pt idx="118">
                  <c:v>45272</c:v>
                </c:pt>
                <c:pt idx="119">
                  <c:v>45271</c:v>
                </c:pt>
                <c:pt idx="120">
                  <c:v>45268</c:v>
                </c:pt>
                <c:pt idx="121">
                  <c:v>45267</c:v>
                </c:pt>
                <c:pt idx="122">
                  <c:v>45266</c:v>
                </c:pt>
                <c:pt idx="123">
                  <c:v>45265</c:v>
                </c:pt>
                <c:pt idx="124">
                  <c:v>45264</c:v>
                </c:pt>
                <c:pt idx="125">
                  <c:v>45261</c:v>
                </c:pt>
                <c:pt idx="126">
                  <c:v>45260</c:v>
                </c:pt>
                <c:pt idx="127">
                  <c:v>45259</c:v>
                </c:pt>
                <c:pt idx="128">
                  <c:v>45258</c:v>
                </c:pt>
                <c:pt idx="129">
                  <c:v>45257</c:v>
                </c:pt>
                <c:pt idx="130">
                  <c:v>45254</c:v>
                </c:pt>
                <c:pt idx="131">
                  <c:v>45252</c:v>
                </c:pt>
                <c:pt idx="132">
                  <c:v>45251</c:v>
                </c:pt>
                <c:pt idx="133">
                  <c:v>45250</c:v>
                </c:pt>
                <c:pt idx="134">
                  <c:v>45247</c:v>
                </c:pt>
                <c:pt idx="135">
                  <c:v>45246</c:v>
                </c:pt>
                <c:pt idx="136">
                  <c:v>45245</c:v>
                </c:pt>
                <c:pt idx="137">
                  <c:v>45244</c:v>
                </c:pt>
                <c:pt idx="138">
                  <c:v>45243</c:v>
                </c:pt>
                <c:pt idx="139">
                  <c:v>45240</c:v>
                </c:pt>
                <c:pt idx="140">
                  <c:v>45239</c:v>
                </c:pt>
                <c:pt idx="141">
                  <c:v>45238</c:v>
                </c:pt>
                <c:pt idx="142">
                  <c:v>45237</c:v>
                </c:pt>
                <c:pt idx="143">
                  <c:v>45236</c:v>
                </c:pt>
                <c:pt idx="144">
                  <c:v>45233</c:v>
                </c:pt>
                <c:pt idx="145">
                  <c:v>45232</c:v>
                </c:pt>
                <c:pt idx="146">
                  <c:v>45231</c:v>
                </c:pt>
                <c:pt idx="147">
                  <c:v>45230</c:v>
                </c:pt>
                <c:pt idx="148">
                  <c:v>45229</c:v>
                </c:pt>
                <c:pt idx="149">
                  <c:v>45226</c:v>
                </c:pt>
                <c:pt idx="150">
                  <c:v>45225</c:v>
                </c:pt>
                <c:pt idx="151">
                  <c:v>45224</c:v>
                </c:pt>
                <c:pt idx="152">
                  <c:v>45223</c:v>
                </c:pt>
                <c:pt idx="153">
                  <c:v>45222</c:v>
                </c:pt>
                <c:pt idx="154">
                  <c:v>45219</c:v>
                </c:pt>
                <c:pt idx="155">
                  <c:v>45218</c:v>
                </c:pt>
                <c:pt idx="156">
                  <c:v>45217</c:v>
                </c:pt>
                <c:pt idx="157">
                  <c:v>45216</c:v>
                </c:pt>
                <c:pt idx="158">
                  <c:v>45215</c:v>
                </c:pt>
                <c:pt idx="159">
                  <c:v>45212</c:v>
                </c:pt>
                <c:pt idx="160">
                  <c:v>45211</c:v>
                </c:pt>
                <c:pt idx="161">
                  <c:v>45210</c:v>
                </c:pt>
                <c:pt idx="162">
                  <c:v>45209</c:v>
                </c:pt>
                <c:pt idx="163">
                  <c:v>45205</c:v>
                </c:pt>
                <c:pt idx="164">
                  <c:v>45204</c:v>
                </c:pt>
                <c:pt idx="165">
                  <c:v>45203</c:v>
                </c:pt>
                <c:pt idx="166">
                  <c:v>45202</c:v>
                </c:pt>
                <c:pt idx="167">
                  <c:v>45201</c:v>
                </c:pt>
                <c:pt idx="168">
                  <c:v>45198</c:v>
                </c:pt>
                <c:pt idx="169">
                  <c:v>45197</c:v>
                </c:pt>
                <c:pt idx="170">
                  <c:v>45196</c:v>
                </c:pt>
                <c:pt idx="171">
                  <c:v>45195</c:v>
                </c:pt>
                <c:pt idx="172">
                  <c:v>45194</c:v>
                </c:pt>
                <c:pt idx="173">
                  <c:v>45191</c:v>
                </c:pt>
                <c:pt idx="174">
                  <c:v>45190</c:v>
                </c:pt>
                <c:pt idx="175">
                  <c:v>45189</c:v>
                </c:pt>
                <c:pt idx="176">
                  <c:v>45188</c:v>
                </c:pt>
                <c:pt idx="177">
                  <c:v>45187</c:v>
                </c:pt>
                <c:pt idx="178">
                  <c:v>45184</c:v>
                </c:pt>
                <c:pt idx="179">
                  <c:v>45183</c:v>
                </c:pt>
                <c:pt idx="180">
                  <c:v>45182</c:v>
                </c:pt>
                <c:pt idx="181">
                  <c:v>45181</c:v>
                </c:pt>
                <c:pt idx="182">
                  <c:v>45180</c:v>
                </c:pt>
                <c:pt idx="183">
                  <c:v>45177</c:v>
                </c:pt>
                <c:pt idx="184">
                  <c:v>45176</c:v>
                </c:pt>
                <c:pt idx="185">
                  <c:v>45175</c:v>
                </c:pt>
                <c:pt idx="186">
                  <c:v>45174</c:v>
                </c:pt>
                <c:pt idx="187">
                  <c:v>45170</c:v>
                </c:pt>
                <c:pt idx="188">
                  <c:v>45169</c:v>
                </c:pt>
                <c:pt idx="189">
                  <c:v>45168</c:v>
                </c:pt>
                <c:pt idx="190">
                  <c:v>45167</c:v>
                </c:pt>
                <c:pt idx="191">
                  <c:v>45166</c:v>
                </c:pt>
                <c:pt idx="192">
                  <c:v>45163</c:v>
                </c:pt>
                <c:pt idx="193">
                  <c:v>45162</c:v>
                </c:pt>
                <c:pt idx="194">
                  <c:v>45161</c:v>
                </c:pt>
                <c:pt idx="195">
                  <c:v>45160</c:v>
                </c:pt>
                <c:pt idx="196">
                  <c:v>45159</c:v>
                </c:pt>
                <c:pt idx="197">
                  <c:v>45156</c:v>
                </c:pt>
                <c:pt idx="198">
                  <c:v>45155</c:v>
                </c:pt>
                <c:pt idx="199">
                  <c:v>45154</c:v>
                </c:pt>
                <c:pt idx="200">
                  <c:v>45153</c:v>
                </c:pt>
                <c:pt idx="201">
                  <c:v>45152</c:v>
                </c:pt>
                <c:pt idx="202">
                  <c:v>45149</c:v>
                </c:pt>
                <c:pt idx="203">
                  <c:v>45148</c:v>
                </c:pt>
                <c:pt idx="204">
                  <c:v>45147</c:v>
                </c:pt>
                <c:pt idx="205">
                  <c:v>45146</c:v>
                </c:pt>
                <c:pt idx="206">
                  <c:v>45145</c:v>
                </c:pt>
                <c:pt idx="207">
                  <c:v>45142</c:v>
                </c:pt>
                <c:pt idx="208">
                  <c:v>45141</c:v>
                </c:pt>
                <c:pt idx="209">
                  <c:v>45140</c:v>
                </c:pt>
                <c:pt idx="210">
                  <c:v>45139</c:v>
                </c:pt>
                <c:pt idx="211">
                  <c:v>45138</c:v>
                </c:pt>
                <c:pt idx="212">
                  <c:v>45135</c:v>
                </c:pt>
                <c:pt idx="213">
                  <c:v>45134</c:v>
                </c:pt>
                <c:pt idx="214">
                  <c:v>45133</c:v>
                </c:pt>
                <c:pt idx="215">
                  <c:v>45132</c:v>
                </c:pt>
                <c:pt idx="216">
                  <c:v>45131</c:v>
                </c:pt>
                <c:pt idx="217">
                  <c:v>45128</c:v>
                </c:pt>
                <c:pt idx="218">
                  <c:v>45127</c:v>
                </c:pt>
                <c:pt idx="219">
                  <c:v>45126</c:v>
                </c:pt>
                <c:pt idx="220">
                  <c:v>45125</c:v>
                </c:pt>
                <c:pt idx="221">
                  <c:v>45124</c:v>
                </c:pt>
                <c:pt idx="222">
                  <c:v>45121</c:v>
                </c:pt>
                <c:pt idx="223">
                  <c:v>45120</c:v>
                </c:pt>
                <c:pt idx="224">
                  <c:v>45119</c:v>
                </c:pt>
                <c:pt idx="225">
                  <c:v>45118</c:v>
                </c:pt>
                <c:pt idx="226">
                  <c:v>45117</c:v>
                </c:pt>
                <c:pt idx="227">
                  <c:v>45114</c:v>
                </c:pt>
                <c:pt idx="228">
                  <c:v>45113</c:v>
                </c:pt>
                <c:pt idx="229">
                  <c:v>45112</c:v>
                </c:pt>
                <c:pt idx="230">
                  <c:v>45110</c:v>
                </c:pt>
                <c:pt idx="231">
                  <c:v>45107</c:v>
                </c:pt>
                <c:pt idx="232">
                  <c:v>45106</c:v>
                </c:pt>
                <c:pt idx="233">
                  <c:v>45105</c:v>
                </c:pt>
                <c:pt idx="234">
                  <c:v>45104</c:v>
                </c:pt>
                <c:pt idx="235">
                  <c:v>45103</c:v>
                </c:pt>
                <c:pt idx="236">
                  <c:v>45100</c:v>
                </c:pt>
                <c:pt idx="237">
                  <c:v>45099</c:v>
                </c:pt>
                <c:pt idx="238">
                  <c:v>45098</c:v>
                </c:pt>
                <c:pt idx="239">
                  <c:v>45097</c:v>
                </c:pt>
                <c:pt idx="240">
                  <c:v>45093</c:v>
                </c:pt>
                <c:pt idx="241">
                  <c:v>45092</c:v>
                </c:pt>
                <c:pt idx="242">
                  <c:v>45091</c:v>
                </c:pt>
                <c:pt idx="243">
                  <c:v>45090</c:v>
                </c:pt>
                <c:pt idx="244">
                  <c:v>45089</c:v>
                </c:pt>
                <c:pt idx="245">
                  <c:v>45086</c:v>
                </c:pt>
                <c:pt idx="246">
                  <c:v>45085</c:v>
                </c:pt>
                <c:pt idx="247">
                  <c:v>45084</c:v>
                </c:pt>
                <c:pt idx="248">
                  <c:v>45083</c:v>
                </c:pt>
                <c:pt idx="249">
                  <c:v>45082</c:v>
                </c:pt>
                <c:pt idx="250">
                  <c:v>45079</c:v>
                </c:pt>
              </c:numCache>
            </c:numRef>
          </c:cat>
          <c:val>
            <c:numRef>
              <c:f>'CIR Parameter Est (MLE) )'!$D$2:$D$252</c:f>
              <c:numCache>
                <c:formatCode>General</c:formatCode>
                <c:ptCount val="251"/>
                <c:pt idx="0">
                  <c:v>5.5199999999999999E-2</c:v>
                </c:pt>
                <c:pt idx="1">
                  <c:v>5.4600000000000003E-2</c:v>
                </c:pt>
                <c:pt idx="2">
                  <c:v>5.4600000000000003E-2</c:v>
                </c:pt>
                <c:pt idx="3">
                  <c:v>5.4600000000000003E-2</c:v>
                </c:pt>
                <c:pt idx="4">
                  <c:v>5.4600000000000003E-2</c:v>
                </c:pt>
                <c:pt idx="5">
                  <c:v>5.4600000000000003E-2</c:v>
                </c:pt>
                <c:pt idx="6">
                  <c:v>5.4600000000000003E-2</c:v>
                </c:pt>
                <c:pt idx="7">
                  <c:v>5.45E-2</c:v>
                </c:pt>
                <c:pt idx="8">
                  <c:v>5.45E-2</c:v>
                </c:pt>
                <c:pt idx="9">
                  <c:v>5.45E-2</c:v>
                </c:pt>
                <c:pt idx="10">
                  <c:v>5.4600000000000003E-2</c:v>
                </c:pt>
                <c:pt idx="11">
                  <c:v>5.45E-2</c:v>
                </c:pt>
                <c:pt idx="12">
                  <c:v>5.45E-2</c:v>
                </c:pt>
                <c:pt idx="13">
                  <c:v>5.4400000000000004E-2</c:v>
                </c:pt>
                <c:pt idx="14">
                  <c:v>5.45E-2</c:v>
                </c:pt>
                <c:pt idx="15">
                  <c:v>5.4699999999999999E-2</c:v>
                </c:pt>
                <c:pt idx="16">
                  <c:v>5.4600000000000003E-2</c:v>
                </c:pt>
                <c:pt idx="17">
                  <c:v>5.45E-2</c:v>
                </c:pt>
                <c:pt idx="18">
                  <c:v>5.45E-2</c:v>
                </c:pt>
                <c:pt idx="19">
                  <c:v>5.45E-2</c:v>
                </c:pt>
                <c:pt idx="20">
                  <c:v>5.45E-2</c:v>
                </c:pt>
                <c:pt idx="21">
                  <c:v>5.4600000000000003E-2</c:v>
                </c:pt>
                <c:pt idx="22">
                  <c:v>5.4600000000000003E-2</c:v>
                </c:pt>
                <c:pt idx="23">
                  <c:v>5.4600000000000003E-2</c:v>
                </c:pt>
                <c:pt idx="24">
                  <c:v>5.45E-2</c:v>
                </c:pt>
                <c:pt idx="25">
                  <c:v>5.4600000000000003E-2</c:v>
                </c:pt>
                <c:pt idx="26">
                  <c:v>5.4699999999999999E-2</c:v>
                </c:pt>
                <c:pt idx="27">
                  <c:v>5.4600000000000003E-2</c:v>
                </c:pt>
                <c:pt idx="28">
                  <c:v>5.45E-2</c:v>
                </c:pt>
                <c:pt idx="29">
                  <c:v>5.4199999999999998E-2</c:v>
                </c:pt>
                <c:pt idx="30">
                  <c:v>5.45E-2</c:v>
                </c:pt>
                <c:pt idx="31">
                  <c:v>5.4600000000000003E-2</c:v>
                </c:pt>
                <c:pt idx="32">
                  <c:v>5.45E-2</c:v>
                </c:pt>
                <c:pt idx="33">
                  <c:v>5.45E-2</c:v>
                </c:pt>
                <c:pt idx="34">
                  <c:v>5.45E-2</c:v>
                </c:pt>
                <c:pt idx="35">
                  <c:v>5.45E-2</c:v>
                </c:pt>
                <c:pt idx="36">
                  <c:v>5.45E-2</c:v>
                </c:pt>
                <c:pt idx="37">
                  <c:v>5.45E-2</c:v>
                </c:pt>
                <c:pt idx="38">
                  <c:v>5.4299999999999994E-2</c:v>
                </c:pt>
                <c:pt idx="39">
                  <c:v>5.4299999999999994E-2</c:v>
                </c:pt>
                <c:pt idx="40">
                  <c:v>5.4299999999999994E-2</c:v>
                </c:pt>
                <c:pt idx="41">
                  <c:v>5.4100000000000002E-2</c:v>
                </c:pt>
                <c:pt idx="42">
                  <c:v>5.4199999999999998E-2</c:v>
                </c:pt>
                <c:pt idx="43">
                  <c:v>5.4199999999999998E-2</c:v>
                </c:pt>
                <c:pt idx="44">
                  <c:v>5.4400000000000004E-2</c:v>
                </c:pt>
                <c:pt idx="45">
                  <c:v>5.4600000000000003E-2</c:v>
                </c:pt>
                <c:pt idx="46">
                  <c:v>5.45E-2</c:v>
                </c:pt>
                <c:pt idx="47">
                  <c:v>5.4600000000000003E-2</c:v>
                </c:pt>
                <c:pt idx="48">
                  <c:v>5.4600000000000003E-2</c:v>
                </c:pt>
                <c:pt idx="49">
                  <c:v>5.4600000000000003E-2</c:v>
                </c:pt>
                <c:pt idx="50">
                  <c:v>5.4800000000000001E-2</c:v>
                </c:pt>
                <c:pt idx="51">
                  <c:v>5.4699999999999999E-2</c:v>
                </c:pt>
                <c:pt idx="52">
                  <c:v>5.4800000000000001E-2</c:v>
                </c:pt>
                <c:pt idx="53">
                  <c:v>5.4800000000000001E-2</c:v>
                </c:pt>
                <c:pt idx="54">
                  <c:v>5.4800000000000001E-2</c:v>
                </c:pt>
                <c:pt idx="55">
                  <c:v>5.4800000000000001E-2</c:v>
                </c:pt>
                <c:pt idx="56">
                  <c:v>5.4800000000000001E-2</c:v>
                </c:pt>
                <c:pt idx="57">
                  <c:v>5.4800000000000001E-2</c:v>
                </c:pt>
                <c:pt idx="58">
                  <c:v>5.4800000000000001E-2</c:v>
                </c:pt>
                <c:pt idx="59">
                  <c:v>5.4600000000000003E-2</c:v>
                </c:pt>
                <c:pt idx="60">
                  <c:v>5.4699999999999999E-2</c:v>
                </c:pt>
                <c:pt idx="61">
                  <c:v>5.4699999999999999E-2</c:v>
                </c:pt>
                <c:pt idx="62">
                  <c:v>5.4699999999999999E-2</c:v>
                </c:pt>
                <c:pt idx="63">
                  <c:v>5.4800000000000001E-2</c:v>
                </c:pt>
                <c:pt idx="64">
                  <c:v>5.4199999999999998E-2</c:v>
                </c:pt>
                <c:pt idx="65">
                  <c:v>5.45E-2</c:v>
                </c:pt>
                <c:pt idx="66">
                  <c:v>5.45E-2</c:v>
                </c:pt>
                <c:pt idx="67">
                  <c:v>5.45E-2</c:v>
                </c:pt>
                <c:pt idx="68">
                  <c:v>5.4699999999999999E-2</c:v>
                </c:pt>
                <c:pt idx="69">
                  <c:v>5.4600000000000003E-2</c:v>
                </c:pt>
                <c:pt idx="70">
                  <c:v>5.45E-2</c:v>
                </c:pt>
                <c:pt idx="71">
                  <c:v>5.4400000000000004E-2</c:v>
                </c:pt>
                <c:pt idx="72">
                  <c:v>5.4400000000000004E-2</c:v>
                </c:pt>
                <c:pt idx="73">
                  <c:v>5.4400000000000004E-2</c:v>
                </c:pt>
                <c:pt idx="74">
                  <c:v>5.4299999999999994E-2</c:v>
                </c:pt>
                <c:pt idx="75">
                  <c:v>5.4299999999999994E-2</c:v>
                </c:pt>
                <c:pt idx="76">
                  <c:v>5.45E-2</c:v>
                </c:pt>
                <c:pt idx="77">
                  <c:v>5.4299999999999994E-2</c:v>
                </c:pt>
                <c:pt idx="78">
                  <c:v>5.4400000000000004E-2</c:v>
                </c:pt>
                <c:pt idx="79">
                  <c:v>5.4400000000000004E-2</c:v>
                </c:pt>
                <c:pt idx="80">
                  <c:v>5.4299999999999994E-2</c:v>
                </c:pt>
                <c:pt idx="81">
                  <c:v>5.4400000000000004E-2</c:v>
                </c:pt>
                <c:pt idx="82">
                  <c:v>5.4199999999999998E-2</c:v>
                </c:pt>
                <c:pt idx="83">
                  <c:v>5.4299999999999994E-2</c:v>
                </c:pt>
                <c:pt idx="84">
                  <c:v>5.4199999999999998E-2</c:v>
                </c:pt>
                <c:pt idx="85">
                  <c:v>5.4199999999999998E-2</c:v>
                </c:pt>
                <c:pt idx="86">
                  <c:v>5.4199999999999998E-2</c:v>
                </c:pt>
                <c:pt idx="87">
                  <c:v>5.4199999999999998E-2</c:v>
                </c:pt>
                <c:pt idx="88">
                  <c:v>5.4400000000000004E-2</c:v>
                </c:pt>
                <c:pt idx="89">
                  <c:v>5.4400000000000004E-2</c:v>
                </c:pt>
                <c:pt idx="90">
                  <c:v>5.4400000000000004E-2</c:v>
                </c:pt>
                <c:pt idx="91">
                  <c:v>5.45E-2</c:v>
                </c:pt>
                <c:pt idx="92">
                  <c:v>5.4600000000000003E-2</c:v>
                </c:pt>
                <c:pt idx="93">
                  <c:v>5.45E-2</c:v>
                </c:pt>
                <c:pt idx="94">
                  <c:v>5.45E-2</c:v>
                </c:pt>
                <c:pt idx="95">
                  <c:v>5.4699999999999999E-2</c:v>
                </c:pt>
                <c:pt idx="96">
                  <c:v>5.45E-2</c:v>
                </c:pt>
                <c:pt idx="97">
                  <c:v>5.45E-2</c:v>
                </c:pt>
                <c:pt idx="98">
                  <c:v>5.4600000000000003E-2</c:v>
                </c:pt>
                <c:pt idx="99">
                  <c:v>5.4600000000000003E-2</c:v>
                </c:pt>
                <c:pt idx="100">
                  <c:v>5.4699999999999999E-2</c:v>
                </c:pt>
                <c:pt idx="101">
                  <c:v>5.4900000000000004E-2</c:v>
                </c:pt>
                <c:pt idx="102">
                  <c:v>5.4699999999999999E-2</c:v>
                </c:pt>
                <c:pt idx="103">
                  <c:v>5.4800000000000001E-2</c:v>
                </c:pt>
                <c:pt idx="104">
                  <c:v>5.4800000000000001E-2</c:v>
                </c:pt>
                <c:pt idx="105">
                  <c:v>5.4600000000000003E-2</c:v>
                </c:pt>
                <c:pt idx="106">
                  <c:v>5.4000000000000006E-2</c:v>
                </c:pt>
                <c:pt idx="107">
                  <c:v>5.45E-2</c:v>
                </c:pt>
                <c:pt idx="108">
                  <c:v>5.4400000000000004E-2</c:v>
                </c:pt>
                <c:pt idx="109">
                  <c:v>5.45E-2</c:v>
                </c:pt>
                <c:pt idx="110">
                  <c:v>5.4400000000000004E-2</c:v>
                </c:pt>
                <c:pt idx="111">
                  <c:v>5.4199999999999998E-2</c:v>
                </c:pt>
                <c:pt idx="112">
                  <c:v>5.4400000000000004E-2</c:v>
                </c:pt>
                <c:pt idx="113">
                  <c:v>5.4299999999999994E-2</c:v>
                </c:pt>
                <c:pt idx="114">
                  <c:v>5.4600000000000003E-2</c:v>
                </c:pt>
                <c:pt idx="115">
                  <c:v>5.4400000000000004E-2</c:v>
                </c:pt>
                <c:pt idx="116">
                  <c:v>5.4299999999999994E-2</c:v>
                </c:pt>
                <c:pt idx="117">
                  <c:v>5.4400000000000004E-2</c:v>
                </c:pt>
                <c:pt idx="118">
                  <c:v>5.4600000000000003E-2</c:v>
                </c:pt>
                <c:pt idx="119">
                  <c:v>5.4699999999999999E-2</c:v>
                </c:pt>
                <c:pt idx="120">
                  <c:v>5.4400000000000004E-2</c:v>
                </c:pt>
                <c:pt idx="121">
                  <c:v>5.4400000000000004E-2</c:v>
                </c:pt>
                <c:pt idx="122">
                  <c:v>5.45E-2</c:v>
                </c:pt>
                <c:pt idx="123">
                  <c:v>5.45E-2</c:v>
                </c:pt>
                <c:pt idx="124">
                  <c:v>5.4600000000000003E-2</c:v>
                </c:pt>
                <c:pt idx="125">
                  <c:v>5.4299999999999994E-2</c:v>
                </c:pt>
                <c:pt idx="126">
                  <c:v>5.45E-2</c:v>
                </c:pt>
                <c:pt idx="127">
                  <c:v>5.45E-2</c:v>
                </c:pt>
                <c:pt idx="128">
                  <c:v>5.4699999999999999E-2</c:v>
                </c:pt>
                <c:pt idx="129">
                  <c:v>5.4900000000000004E-2</c:v>
                </c:pt>
                <c:pt idx="130">
                  <c:v>5.5399999999999998E-2</c:v>
                </c:pt>
                <c:pt idx="131">
                  <c:v>5.5399999999999998E-2</c:v>
                </c:pt>
                <c:pt idx="132">
                  <c:v>5.5300000000000002E-2</c:v>
                </c:pt>
                <c:pt idx="133">
                  <c:v>5.5399999999999998E-2</c:v>
                </c:pt>
                <c:pt idx="134">
                  <c:v>5.5E-2</c:v>
                </c:pt>
                <c:pt idx="135">
                  <c:v>5.5099999999999996E-2</c:v>
                </c:pt>
                <c:pt idx="136">
                  <c:v>5.5300000000000002E-2</c:v>
                </c:pt>
                <c:pt idx="137">
                  <c:v>5.5199999999999999E-2</c:v>
                </c:pt>
                <c:pt idx="138">
                  <c:v>5.5500000000000001E-2</c:v>
                </c:pt>
                <c:pt idx="139">
                  <c:v>5.5300000000000002E-2</c:v>
                </c:pt>
                <c:pt idx="140">
                  <c:v>5.5399999999999998E-2</c:v>
                </c:pt>
                <c:pt idx="141">
                  <c:v>5.5399999999999998E-2</c:v>
                </c:pt>
                <c:pt idx="142">
                  <c:v>5.5500000000000001E-2</c:v>
                </c:pt>
                <c:pt idx="143">
                  <c:v>5.5599999999999997E-2</c:v>
                </c:pt>
                <c:pt idx="144">
                  <c:v>5.5300000000000002E-2</c:v>
                </c:pt>
                <c:pt idx="145">
                  <c:v>5.5399999999999998E-2</c:v>
                </c:pt>
                <c:pt idx="146">
                  <c:v>5.57E-2</c:v>
                </c:pt>
                <c:pt idx="147">
                  <c:v>5.5899999999999998E-2</c:v>
                </c:pt>
                <c:pt idx="148">
                  <c:v>5.5999999999999994E-2</c:v>
                </c:pt>
                <c:pt idx="149">
                  <c:v>5.5899999999999998E-2</c:v>
                </c:pt>
                <c:pt idx="150">
                  <c:v>5.5899999999999998E-2</c:v>
                </c:pt>
                <c:pt idx="151">
                  <c:v>5.5899999999999998E-2</c:v>
                </c:pt>
                <c:pt idx="152">
                  <c:v>5.5800000000000002E-2</c:v>
                </c:pt>
                <c:pt idx="153">
                  <c:v>5.5800000000000002E-2</c:v>
                </c:pt>
                <c:pt idx="154">
                  <c:v>5.5800000000000002E-2</c:v>
                </c:pt>
                <c:pt idx="155">
                  <c:v>5.5999999999999994E-2</c:v>
                </c:pt>
                <c:pt idx="156">
                  <c:v>5.6100000000000004E-2</c:v>
                </c:pt>
                <c:pt idx="157">
                  <c:v>5.62E-2</c:v>
                </c:pt>
                <c:pt idx="158">
                  <c:v>5.6100000000000004E-2</c:v>
                </c:pt>
                <c:pt idx="159">
                  <c:v>5.62E-2</c:v>
                </c:pt>
                <c:pt idx="160">
                  <c:v>5.6299999999999996E-2</c:v>
                </c:pt>
                <c:pt idx="161">
                  <c:v>5.6100000000000004E-2</c:v>
                </c:pt>
                <c:pt idx="162">
                  <c:v>5.6100000000000004E-2</c:v>
                </c:pt>
                <c:pt idx="163">
                  <c:v>5.6299999999999996E-2</c:v>
                </c:pt>
                <c:pt idx="164">
                  <c:v>5.6100000000000004E-2</c:v>
                </c:pt>
                <c:pt idx="165">
                  <c:v>5.6100000000000004E-2</c:v>
                </c:pt>
                <c:pt idx="166">
                  <c:v>5.62E-2</c:v>
                </c:pt>
                <c:pt idx="167">
                  <c:v>5.62E-2</c:v>
                </c:pt>
                <c:pt idx="168">
                  <c:v>5.5500000000000001E-2</c:v>
                </c:pt>
                <c:pt idx="169">
                  <c:v>5.5599999999999997E-2</c:v>
                </c:pt>
                <c:pt idx="170">
                  <c:v>5.5800000000000002E-2</c:v>
                </c:pt>
                <c:pt idx="171">
                  <c:v>5.5800000000000002E-2</c:v>
                </c:pt>
                <c:pt idx="172">
                  <c:v>5.5800000000000002E-2</c:v>
                </c:pt>
                <c:pt idx="173">
                  <c:v>5.5599999999999997E-2</c:v>
                </c:pt>
                <c:pt idx="174">
                  <c:v>5.57E-2</c:v>
                </c:pt>
                <c:pt idx="175">
                  <c:v>5.5599999999999997E-2</c:v>
                </c:pt>
                <c:pt idx="176">
                  <c:v>5.5399999999999998E-2</c:v>
                </c:pt>
                <c:pt idx="177">
                  <c:v>5.5500000000000001E-2</c:v>
                </c:pt>
                <c:pt idx="178">
                  <c:v>5.5599999999999997E-2</c:v>
                </c:pt>
                <c:pt idx="179">
                  <c:v>5.5500000000000001E-2</c:v>
                </c:pt>
                <c:pt idx="180">
                  <c:v>5.5500000000000001E-2</c:v>
                </c:pt>
                <c:pt idx="181">
                  <c:v>5.5599999999999997E-2</c:v>
                </c:pt>
                <c:pt idx="182">
                  <c:v>5.5500000000000001E-2</c:v>
                </c:pt>
                <c:pt idx="183">
                  <c:v>5.5500000000000001E-2</c:v>
                </c:pt>
                <c:pt idx="184">
                  <c:v>5.5300000000000002E-2</c:v>
                </c:pt>
                <c:pt idx="185">
                  <c:v>5.5500000000000001E-2</c:v>
                </c:pt>
                <c:pt idx="186">
                  <c:v>5.5500000000000001E-2</c:v>
                </c:pt>
                <c:pt idx="187">
                  <c:v>5.5300000000000002E-2</c:v>
                </c:pt>
                <c:pt idx="188">
                  <c:v>5.5599999999999997E-2</c:v>
                </c:pt>
                <c:pt idx="189">
                  <c:v>5.5599999999999997E-2</c:v>
                </c:pt>
                <c:pt idx="190">
                  <c:v>5.5599999999999997E-2</c:v>
                </c:pt>
                <c:pt idx="191">
                  <c:v>5.5800000000000002E-2</c:v>
                </c:pt>
                <c:pt idx="192">
                  <c:v>5.6100000000000004E-2</c:v>
                </c:pt>
                <c:pt idx="193">
                  <c:v>5.5800000000000002E-2</c:v>
                </c:pt>
                <c:pt idx="194">
                  <c:v>5.57E-2</c:v>
                </c:pt>
                <c:pt idx="195">
                  <c:v>5.57E-2</c:v>
                </c:pt>
                <c:pt idx="196">
                  <c:v>5.57E-2</c:v>
                </c:pt>
                <c:pt idx="197">
                  <c:v>5.5500000000000001E-2</c:v>
                </c:pt>
                <c:pt idx="198">
                  <c:v>5.5599999999999997E-2</c:v>
                </c:pt>
                <c:pt idx="199">
                  <c:v>5.5599999999999997E-2</c:v>
                </c:pt>
                <c:pt idx="200">
                  <c:v>5.5599999999999997E-2</c:v>
                </c:pt>
                <c:pt idx="201">
                  <c:v>5.5599999999999997E-2</c:v>
                </c:pt>
                <c:pt idx="202">
                  <c:v>5.5399999999999998E-2</c:v>
                </c:pt>
                <c:pt idx="203">
                  <c:v>5.5399999999999998E-2</c:v>
                </c:pt>
                <c:pt idx="204">
                  <c:v>5.5500000000000001E-2</c:v>
                </c:pt>
                <c:pt idx="205">
                  <c:v>5.57E-2</c:v>
                </c:pt>
                <c:pt idx="206">
                  <c:v>5.5599999999999997E-2</c:v>
                </c:pt>
                <c:pt idx="207">
                  <c:v>5.5399999999999998E-2</c:v>
                </c:pt>
                <c:pt idx="208">
                  <c:v>5.5399999999999998E-2</c:v>
                </c:pt>
                <c:pt idx="209">
                  <c:v>5.5300000000000002E-2</c:v>
                </c:pt>
                <c:pt idx="210">
                  <c:v>5.5399999999999998E-2</c:v>
                </c:pt>
                <c:pt idx="211">
                  <c:v>5.5500000000000001E-2</c:v>
                </c:pt>
                <c:pt idx="212">
                  <c:v>5.5199999999999999E-2</c:v>
                </c:pt>
                <c:pt idx="213">
                  <c:v>5.5099999999999996E-2</c:v>
                </c:pt>
                <c:pt idx="214">
                  <c:v>5.5099999999999996E-2</c:v>
                </c:pt>
                <c:pt idx="215">
                  <c:v>5.5099999999999996E-2</c:v>
                </c:pt>
                <c:pt idx="216">
                  <c:v>5.5099999999999996E-2</c:v>
                </c:pt>
                <c:pt idx="217">
                  <c:v>5.5E-2</c:v>
                </c:pt>
                <c:pt idx="218">
                  <c:v>5.4900000000000004E-2</c:v>
                </c:pt>
                <c:pt idx="219">
                  <c:v>5.4900000000000004E-2</c:v>
                </c:pt>
                <c:pt idx="220">
                  <c:v>5.4900000000000004E-2</c:v>
                </c:pt>
                <c:pt idx="221">
                  <c:v>5.4900000000000004E-2</c:v>
                </c:pt>
                <c:pt idx="222">
                  <c:v>5.4900000000000004E-2</c:v>
                </c:pt>
                <c:pt idx="223">
                  <c:v>5.4699999999999999E-2</c:v>
                </c:pt>
                <c:pt idx="224">
                  <c:v>5.4699999999999999E-2</c:v>
                </c:pt>
                <c:pt idx="225">
                  <c:v>5.4900000000000004E-2</c:v>
                </c:pt>
                <c:pt idx="226">
                  <c:v>5.4800000000000001E-2</c:v>
                </c:pt>
                <c:pt idx="227">
                  <c:v>5.4600000000000003E-2</c:v>
                </c:pt>
                <c:pt idx="228">
                  <c:v>5.4600000000000003E-2</c:v>
                </c:pt>
                <c:pt idx="229">
                  <c:v>5.4400000000000004E-2</c:v>
                </c:pt>
                <c:pt idx="230">
                  <c:v>5.4400000000000004E-2</c:v>
                </c:pt>
                <c:pt idx="231">
                  <c:v>5.4299999999999994E-2</c:v>
                </c:pt>
                <c:pt idx="232">
                  <c:v>5.4600000000000003E-2</c:v>
                </c:pt>
                <c:pt idx="233">
                  <c:v>5.4400000000000004E-2</c:v>
                </c:pt>
                <c:pt idx="234">
                  <c:v>5.4400000000000004E-2</c:v>
                </c:pt>
                <c:pt idx="235">
                  <c:v>5.5E-2</c:v>
                </c:pt>
                <c:pt idx="236">
                  <c:v>5.4100000000000002E-2</c:v>
                </c:pt>
                <c:pt idx="237">
                  <c:v>5.4000000000000006E-2</c:v>
                </c:pt>
                <c:pt idx="238">
                  <c:v>5.4000000000000006E-2</c:v>
                </c:pt>
                <c:pt idx="239">
                  <c:v>5.3899999999999997E-2</c:v>
                </c:pt>
                <c:pt idx="240">
                  <c:v>5.3399999999999996E-2</c:v>
                </c:pt>
                <c:pt idx="241">
                  <c:v>5.33E-2</c:v>
                </c:pt>
                <c:pt idx="242">
                  <c:v>5.3600000000000002E-2</c:v>
                </c:pt>
                <c:pt idx="243">
                  <c:v>5.3600000000000002E-2</c:v>
                </c:pt>
                <c:pt idx="244">
                  <c:v>5.4000000000000006E-2</c:v>
                </c:pt>
                <c:pt idx="245">
                  <c:v>5.3699999999999998E-2</c:v>
                </c:pt>
                <c:pt idx="246">
                  <c:v>5.3800000000000001E-2</c:v>
                </c:pt>
                <c:pt idx="247">
                  <c:v>5.4199999999999998E-2</c:v>
                </c:pt>
                <c:pt idx="248">
                  <c:v>5.4400000000000004E-2</c:v>
                </c:pt>
                <c:pt idx="249">
                  <c:v>5.4600000000000003E-2</c:v>
                </c:pt>
                <c:pt idx="250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0-5946-83F2-ED8BE86D33B7}"/>
            </c:ext>
          </c:extLst>
        </c:ser>
        <c:ser>
          <c:idx val="1"/>
          <c:order val="1"/>
          <c:tx>
            <c:strRef>
              <c:f>'Parameter Estimation (MLE)'!#REF!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'CIR Parameter Est (MLE) )'!$B$2:$B$252</c:f>
              <c:numCache>
                <c:formatCode>m/d/yy</c:formatCode>
                <c:ptCount val="251"/>
                <c:pt idx="0">
                  <c:v>45446</c:v>
                </c:pt>
                <c:pt idx="1">
                  <c:v>45443</c:v>
                </c:pt>
                <c:pt idx="2">
                  <c:v>45442</c:v>
                </c:pt>
                <c:pt idx="3">
                  <c:v>45441</c:v>
                </c:pt>
                <c:pt idx="4">
                  <c:v>45440</c:v>
                </c:pt>
                <c:pt idx="5">
                  <c:v>45436</c:v>
                </c:pt>
                <c:pt idx="6">
                  <c:v>45435</c:v>
                </c:pt>
                <c:pt idx="7">
                  <c:v>45434</c:v>
                </c:pt>
                <c:pt idx="8">
                  <c:v>45433</c:v>
                </c:pt>
                <c:pt idx="9">
                  <c:v>45432</c:v>
                </c:pt>
                <c:pt idx="10">
                  <c:v>45429</c:v>
                </c:pt>
                <c:pt idx="11">
                  <c:v>45428</c:v>
                </c:pt>
                <c:pt idx="12">
                  <c:v>45427</c:v>
                </c:pt>
                <c:pt idx="13">
                  <c:v>45426</c:v>
                </c:pt>
                <c:pt idx="14">
                  <c:v>45425</c:v>
                </c:pt>
                <c:pt idx="15">
                  <c:v>45422</c:v>
                </c:pt>
                <c:pt idx="16">
                  <c:v>45421</c:v>
                </c:pt>
                <c:pt idx="17">
                  <c:v>45420</c:v>
                </c:pt>
                <c:pt idx="18">
                  <c:v>45419</c:v>
                </c:pt>
                <c:pt idx="19">
                  <c:v>45418</c:v>
                </c:pt>
                <c:pt idx="20">
                  <c:v>45415</c:v>
                </c:pt>
                <c:pt idx="21">
                  <c:v>45414</c:v>
                </c:pt>
                <c:pt idx="22">
                  <c:v>45413</c:v>
                </c:pt>
                <c:pt idx="23">
                  <c:v>45412</c:v>
                </c:pt>
                <c:pt idx="24">
                  <c:v>45411</c:v>
                </c:pt>
                <c:pt idx="25">
                  <c:v>45408</c:v>
                </c:pt>
                <c:pt idx="26">
                  <c:v>45407</c:v>
                </c:pt>
                <c:pt idx="27">
                  <c:v>45406</c:v>
                </c:pt>
                <c:pt idx="28">
                  <c:v>45405</c:v>
                </c:pt>
                <c:pt idx="29">
                  <c:v>45404</c:v>
                </c:pt>
                <c:pt idx="30">
                  <c:v>45401</c:v>
                </c:pt>
                <c:pt idx="31">
                  <c:v>45400</c:v>
                </c:pt>
                <c:pt idx="32">
                  <c:v>45399</c:v>
                </c:pt>
                <c:pt idx="33">
                  <c:v>45398</c:v>
                </c:pt>
                <c:pt idx="34">
                  <c:v>45397</c:v>
                </c:pt>
                <c:pt idx="35">
                  <c:v>45394</c:v>
                </c:pt>
                <c:pt idx="36">
                  <c:v>45393</c:v>
                </c:pt>
                <c:pt idx="37">
                  <c:v>45392</c:v>
                </c:pt>
                <c:pt idx="38">
                  <c:v>45391</c:v>
                </c:pt>
                <c:pt idx="39">
                  <c:v>45390</c:v>
                </c:pt>
                <c:pt idx="40">
                  <c:v>45387</c:v>
                </c:pt>
                <c:pt idx="41">
                  <c:v>45386</c:v>
                </c:pt>
                <c:pt idx="42">
                  <c:v>45385</c:v>
                </c:pt>
                <c:pt idx="43">
                  <c:v>45384</c:v>
                </c:pt>
                <c:pt idx="44">
                  <c:v>45383</c:v>
                </c:pt>
                <c:pt idx="45">
                  <c:v>45379</c:v>
                </c:pt>
                <c:pt idx="46">
                  <c:v>45378</c:v>
                </c:pt>
                <c:pt idx="47">
                  <c:v>45377</c:v>
                </c:pt>
                <c:pt idx="48">
                  <c:v>45376</c:v>
                </c:pt>
                <c:pt idx="49">
                  <c:v>45373</c:v>
                </c:pt>
                <c:pt idx="50">
                  <c:v>45372</c:v>
                </c:pt>
                <c:pt idx="51">
                  <c:v>45371</c:v>
                </c:pt>
                <c:pt idx="52">
                  <c:v>45370</c:v>
                </c:pt>
                <c:pt idx="53">
                  <c:v>45369</c:v>
                </c:pt>
                <c:pt idx="54">
                  <c:v>45366</c:v>
                </c:pt>
                <c:pt idx="55">
                  <c:v>45365</c:v>
                </c:pt>
                <c:pt idx="56">
                  <c:v>45364</c:v>
                </c:pt>
                <c:pt idx="57">
                  <c:v>45363</c:v>
                </c:pt>
                <c:pt idx="58">
                  <c:v>45362</c:v>
                </c:pt>
                <c:pt idx="59">
                  <c:v>45359</c:v>
                </c:pt>
                <c:pt idx="60">
                  <c:v>45358</c:v>
                </c:pt>
                <c:pt idx="61">
                  <c:v>45357</c:v>
                </c:pt>
                <c:pt idx="62">
                  <c:v>45356</c:v>
                </c:pt>
                <c:pt idx="63">
                  <c:v>45355</c:v>
                </c:pt>
                <c:pt idx="64">
                  <c:v>45352</c:v>
                </c:pt>
                <c:pt idx="65">
                  <c:v>45351</c:v>
                </c:pt>
                <c:pt idx="66">
                  <c:v>45350</c:v>
                </c:pt>
                <c:pt idx="67">
                  <c:v>45349</c:v>
                </c:pt>
                <c:pt idx="68">
                  <c:v>45348</c:v>
                </c:pt>
                <c:pt idx="69">
                  <c:v>45345</c:v>
                </c:pt>
                <c:pt idx="70">
                  <c:v>45344</c:v>
                </c:pt>
                <c:pt idx="71">
                  <c:v>45343</c:v>
                </c:pt>
                <c:pt idx="72">
                  <c:v>45342</c:v>
                </c:pt>
                <c:pt idx="73">
                  <c:v>45338</c:v>
                </c:pt>
                <c:pt idx="74">
                  <c:v>45337</c:v>
                </c:pt>
                <c:pt idx="75">
                  <c:v>45336</c:v>
                </c:pt>
                <c:pt idx="76">
                  <c:v>45335</c:v>
                </c:pt>
                <c:pt idx="77">
                  <c:v>45334</c:v>
                </c:pt>
                <c:pt idx="78">
                  <c:v>45331</c:v>
                </c:pt>
                <c:pt idx="79">
                  <c:v>45330</c:v>
                </c:pt>
                <c:pt idx="80">
                  <c:v>45329</c:v>
                </c:pt>
                <c:pt idx="81">
                  <c:v>45328</c:v>
                </c:pt>
                <c:pt idx="82">
                  <c:v>45327</c:v>
                </c:pt>
                <c:pt idx="83">
                  <c:v>45324</c:v>
                </c:pt>
                <c:pt idx="84">
                  <c:v>45323</c:v>
                </c:pt>
                <c:pt idx="85">
                  <c:v>45322</c:v>
                </c:pt>
                <c:pt idx="86">
                  <c:v>45321</c:v>
                </c:pt>
                <c:pt idx="87">
                  <c:v>45320</c:v>
                </c:pt>
                <c:pt idx="88">
                  <c:v>45317</c:v>
                </c:pt>
                <c:pt idx="89">
                  <c:v>45316</c:v>
                </c:pt>
                <c:pt idx="90">
                  <c:v>45315</c:v>
                </c:pt>
                <c:pt idx="91">
                  <c:v>45314</c:v>
                </c:pt>
                <c:pt idx="92">
                  <c:v>45313</c:v>
                </c:pt>
                <c:pt idx="93">
                  <c:v>45310</c:v>
                </c:pt>
                <c:pt idx="94">
                  <c:v>45309</c:v>
                </c:pt>
                <c:pt idx="95">
                  <c:v>45308</c:v>
                </c:pt>
                <c:pt idx="96">
                  <c:v>45307</c:v>
                </c:pt>
                <c:pt idx="97">
                  <c:v>45303</c:v>
                </c:pt>
                <c:pt idx="98">
                  <c:v>45302</c:v>
                </c:pt>
                <c:pt idx="99">
                  <c:v>45301</c:v>
                </c:pt>
                <c:pt idx="100">
                  <c:v>45300</c:v>
                </c:pt>
                <c:pt idx="101">
                  <c:v>45299</c:v>
                </c:pt>
                <c:pt idx="102">
                  <c:v>45296</c:v>
                </c:pt>
                <c:pt idx="103">
                  <c:v>45295</c:v>
                </c:pt>
                <c:pt idx="104">
                  <c:v>45294</c:v>
                </c:pt>
                <c:pt idx="105">
                  <c:v>45293</c:v>
                </c:pt>
                <c:pt idx="106">
                  <c:v>45289</c:v>
                </c:pt>
                <c:pt idx="107">
                  <c:v>45288</c:v>
                </c:pt>
                <c:pt idx="108">
                  <c:v>45287</c:v>
                </c:pt>
                <c:pt idx="109">
                  <c:v>45286</c:v>
                </c:pt>
                <c:pt idx="110">
                  <c:v>45282</c:v>
                </c:pt>
                <c:pt idx="111">
                  <c:v>45281</c:v>
                </c:pt>
                <c:pt idx="112">
                  <c:v>45280</c:v>
                </c:pt>
                <c:pt idx="113">
                  <c:v>45279</c:v>
                </c:pt>
                <c:pt idx="114">
                  <c:v>45278</c:v>
                </c:pt>
                <c:pt idx="115">
                  <c:v>45275</c:v>
                </c:pt>
                <c:pt idx="116">
                  <c:v>45274</c:v>
                </c:pt>
                <c:pt idx="117">
                  <c:v>45273</c:v>
                </c:pt>
                <c:pt idx="118">
                  <c:v>45272</c:v>
                </c:pt>
                <c:pt idx="119">
                  <c:v>45271</c:v>
                </c:pt>
                <c:pt idx="120">
                  <c:v>45268</c:v>
                </c:pt>
                <c:pt idx="121">
                  <c:v>45267</c:v>
                </c:pt>
                <c:pt idx="122">
                  <c:v>45266</c:v>
                </c:pt>
                <c:pt idx="123">
                  <c:v>45265</c:v>
                </c:pt>
                <c:pt idx="124">
                  <c:v>45264</c:v>
                </c:pt>
                <c:pt idx="125">
                  <c:v>45261</c:v>
                </c:pt>
                <c:pt idx="126">
                  <c:v>45260</c:v>
                </c:pt>
                <c:pt idx="127">
                  <c:v>45259</c:v>
                </c:pt>
                <c:pt idx="128">
                  <c:v>45258</c:v>
                </c:pt>
                <c:pt idx="129">
                  <c:v>45257</c:v>
                </c:pt>
                <c:pt idx="130">
                  <c:v>45254</c:v>
                </c:pt>
                <c:pt idx="131">
                  <c:v>45252</c:v>
                </c:pt>
                <c:pt idx="132">
                  <c:v>45251</c:v>
                </c:pt>
                <c:pt idx="133">
                  <c:v>45250</c:v>
                </c:pt>
                <c:pt idx="134">
                  <c:v>45247</c:v>
                </c:pt>
                <c:pt idx="135">
                  <c:v>45246</c:v>
                </c:pt>
                <c:pt idx="136">
                  <c:v>45245</c:v>
                </c:pt>
                <c:pt idx="137">
                  <c:v>45244</c:v>
                </c:pt>
                <c:pt idx="138">
                  <c:v>45243</c:v>
                </c:pt>
                <c:pt idx="139">
                  <c:v>45240</c:v>
                </c:pt>
                <c:pt idx="140">
                  <c:v>45239</c:v>
                </c:pt>
                <c:pt idx="141">
                  <c:v>45238</c:v>
                </c:pt>
                <c:pt idx="142">
                  <c:v>45237</c:v>
                </c:pt>
                <c:pt idx="143">
                  <c:v>45236</c:v>
                </c:pt>
                <c:pt idx="144">
                  <c:v>45233</c:v>
                </c:pt>
                <c:pt idx="145">
                  <c:v>45232</c:v>
                </c:pt>
                <c:pt idx="146">
                  <c:v>45231</c:v>
                </c:pt>
                <c:pt idx="147">
                  <c:v>45230</c:v>
                </c:pt>
                <c:pt idx="148">
                  <c:v>45229</c:v>
                </c:pt>
                <c:pt idx="149">
                  <c:v>45226</c:v>
                </c:pt>
                <c:pt idx="150">
                  <c:v>45225</c:v>
                </c:pt>
                <c:pt idx="151">
                  <c:v>45224</c:v>
                </c:pt>
                <c:pt idx="152">
                  <c:v>45223</c:v>
                </c:pt>
                <c:pt idx="153">
                  <c:v>45222</c:v>
                </c:pt>
                <c:pt idx="154">
                  <c:v>45219</c:v>
                </c:pt>
                <c:pt idx="155">
                  <c:v>45218</c:v>
                </c:pt>
                <c:pt idx="156">
                  <c:v>45217</c:v>
                </c:pt>
                <c:pt idx="157">
                  <c:v>45216</c:v>
                </c:pt>
                <c:pt idx="158">
                  <c:v>45215</c:v>
                </c:pt>
                <c:pt idx="159">
                  <c:v>45212</c:v>
                </c:pt>
                <c:pt idx="160">
                  <c:v>45211</c:v>
                </c:pt>
                <c:pt idx="161">
                  <c:v>45210</c:v>
                </c:pt>
                <c:pt idx="162">
                  <c:v>45209</c:v>
                </c:pt>
                <c:pt idx="163">
                  <c:v>45205</c:v>
                </c:pt>
                <c:pt idx="164">
                  <c:v>45204</c:v>
                </c:pt>
                <c:pt idx="165">
                  <c:v>45203</c:v>
                </c:pt>
                <c:pt idx="166">
                  <c:v>45202</c:v>
                </c:pt>
                <c:pt idx="167">
                  <c:v>45201</c:v>
                </c:pt>
                <c:pt idx="168">
                  <c:v>45198</c:v>
                </c:pt>
                <c:pt idx="169">
                  <c:v>45197</c:v>
                </c:pt>
                <c:pt idx="170">
                  <c:v>45196</c:v>
                </c:pt>
                <c:pt idx="171">
                  <c:v>45195</c:v>
                </c:pt>
                <c:pt idx="172">
                  <c:v>45194</c:v>
                </c:pt>
                <c:pt idx="173">
                  <c:v>45191</c:v>
                </c:pt>
                <c:pt idx="174">
                  <c:v>45190</c:v>
                </c:pt>
                <c:pt idx="175">
                  <c:v>45189</c:v>
                </c:pt>
                <c:pt idx="176">
                  <c:v>45188</c:v>
                </c:pt>
                <c:pt idx="177">
                  <c:v>45187</c:v>
                </c:pt>
                <c:pt idx="178">
                  <c:v>45184</c:v>
                </c:pt>
                <c:pt idx="179">
                  <c:v>45183</c:v>
                </c:pt>
                <c:pt idx="180">
                  <c:v>45182</c:v>
                </c:pt>
                <c:pt idx="181">
                  <c:v>45181</c:v>
                </c:pt>
                <c:pt idx="182">
                  <c:v>45180</c:v>
                </c:pt>
                <c:pt idx="183">
                  <c:v>45177</c:v>
                </c:pt>
                <c:pt idx="184">
                  <c:v>45176</c:v>
                </c:pt>
                <c:pt idx="185">
                  <c:v>45175</c:v>
                </c:pt>
                <c:pt idx="186">
                  <c:v>45174</c:v>
                </c:pt>
                <c:pt idx="187">
                  <c:v>45170</c:v>
                </c:pt>
                <c:pt idx="188">
                  <c:v>45169</c:v>
                </c:pt>
                <c:pt idx="189">
                  <c:v>45168</c:v>
                </c:pt>
                <c:pt idx="190">
                  <c:v>45167</c:v>
                </c:pt>
                <c:pt idx="191">
                  <c:v>45166</c:v>
                </c:pt>
                <c:pt idx="192">
                  <c:v>45163</c:v>
                </c:pt>
                <c:pt idx="193">
                  <c:v>45162</c:v>
                </c:pt>
                <c:pt idx="194">
                  <c:v>45161</c:v>
                </c:pt>
                <c:pt idx="195">
                  <c:v>45160</c:v>
                </c:pt>
                <c:pt idx="196">
                  <c:v>45159</c:v>
                </c:pt>
                <c:pt idx="197">
                  <c:v>45156</c:v>
                </c:pt>
                <c:pt idx="198">
                  <c:v>45155</c:v>
                </c:pt>
                <c:pt idx="199">
                  <c:v>45154</c:v>
                </c:pt>
                <c:pt idx="200">
                  <c:v>45153</c:v>
                </c:pt>
                <c:pt idx="201">
                  <c:v>45152</c:v>
                </c:pt>
                <c:pt idx="202">
                  <c:v>45149</c:v>
                </c:pt>
                <c:pt idx="203">
                  <c:v>45148</c:v>
                </c:pt>
                <c:pt idx="204">
                  <c:v>45147</c:v>
                </c:pt>
                <c:pt idx="205">
                  <c:v>45146</c:v>
                </c:pt>
                <c:pt idx="206">
                  <c:v>45145</c:v>
                </c:pt>
                <c:pt idx="207">
                  <c:v>45142</c:v>
                </c:pt>
                <c:pt idx="208">
                  <c:v>45141</c:v>
                </c:pt>
                <c:pt idx="209">
                  <c:v>45140</c:v>
                </c:pt>
                <c:pt idx="210">
                  <c:v>45139</c:v>
                </c:pt>
                <c:pt idx="211">
                  <c:v>45138</c:v>
                </c:pt>
                <c:pt idx="212">
                  <c:v>45135</c:v>
                </c:pt>
                <c:pt idx="213">
                  <c:v>45134</c:v>
                </c:pt>
                <c:pt idx="214">
                  <c:v>45133</c:v>
                </c:pt>
                <c:pt idx="215">
                  <c:v>45132</c:v>
                </c:pt>
                <c:pt idx="216">
                  <c:v>45131</c:v>
                </c:pt>
                <c:pt idx="217">
                  <c:v>45128</c:v>
                </c:pt>
                <c:pt idx="218">
                  <c:v>45127</c:v>
                </c:pt>
                <c:pt idx="219">
                  <c:v>45126</c:v>
                </c:pt>
                <c:pt idx="220">
                  <c:v>45125</c:v>
                </c:pt>
                <c:pt idx="221">
                  <c:v>45124</c:v>
                </c:pt>
                <c:pt idx="222">
                  <c:v>45121</c:v>
                </c:pt>
                <c:pt idx="223">
                  <c:v>45120</c:v>
                </c:pt>
                <c:pt idx="224">
                  <c:v>45119</c:v>
                </c:pt>
                <c:pt idx="225">
                  <c:v>45118</c:v>
                </c:pt>
                <c:pt idx="226">
                  <c:v>45117</c:v>
                </c:pt>
                <c:pt idx="227">
                  <c:v>45114</c:v>
                </c:pt>
                <c:pt idx="228">
                  <c:v>45113</c:v>
                </c:pt>
                <c:pt idx="229">
                  <c:v>45112</c:v>
                </c:pt>
                <c:pt idx="230">
                  <c:v>45110</c:v>
                </c:pt>
                <c:pt idx="231">
                  <c:v>45107</c:v>
                </c:pt>
                <c:pt idx="232">
                  <c:v>45106</c:v>
                </c:pt>
                <c:pt idx="233">
                  <c:v>45105</c:v>
                </c:pt>
                <c:pt idx="234">
                  <c:v>45104</c:v>
                </c:pt>
                <c:pt idx="235">
                  <c:v>45103</c:v>
                </c:pt>
                <c:pt idx="236">
                  <c:v>45100</c:v>
                </c:pt>
                <c:pt idx="237">
                  <c:v>45099</c:v>
                </c:pt>
                <c:pt idx="238">
                  <c:v>45098</c:v>
                </c:pt>
                <c:pt idx="239">
                  <c:v>45097</c:v>
                </c:pt>
                <c:pt idx="240">
                  <c:v>45093</c:v>
                </c:pt>
                <c:pt idx="241">
                  <c:v>45092</c:v>
                </c:pt>
                <c:pt idx="242">
                  <c:v>45091</c:v>
                </c:pt>
                <c:pt idx="243">
                  <c:v>45090</c:v>
                </c:pt>
                <c:pt idx="244">
                  <c:v>45089</c:v>
                </c:pt>
                <c:pt idx="245">
                  <c:v>45086</c:v>
                </c:pt>
                <c:pt idx="246">
                  <c:v>45085</c:v>
                </c:pt>
                <c:pt idx="247">
                  <c:v>45084</c:v>
                </c:pt>
                <c:pt idx="248">
                  <c:v>45083</c:v>
                </c:pt>
                <c:pt idx="249">
                  <c:v>45082</c:v>
                </c:pt>
                <c:pt idx="250">
                  <c:v>45079</c:v>
                </c:pt>
              </c:numCache>
            </c:numRef>
          </c:cat>
          <c:val>
            <c:numRef>
              <c:f>'Parameter Estimation (MLE)'!#REF!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0-5946-83F2-ED8BE86D3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19328"/>
        <c:axId val="471677808"/>
      </c:lineChart>
      <c:dateAx>
        <c:axId val="4718193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677808"/>
        <c:crosses val="autoZero"/>
        <c:auto val="1"/>
        <c:lblOffset val="100"/>
        <c:baseTimeUnit val="days"/>
      </c:dateAx>
      <c:valAx>
        <c:axId val="4716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193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2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CIR Interest Rate Model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2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 Simulation (MLE)'!$E$1</c:f>
              <c:strCache>
                <c:ptCount val="1"/>
                <c:pt idx="0">
                  <c:v>Sims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(MLE)'!$E$2:$E$254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5.5184639272832819E-2</c:v>
                </c:pt>
                <c:pt idx="2">
                  <c:v>5.5173902360027137E-2</c:v>
                </c:pt>
                <c:pt idx="3">
                  <c:v>5.5164798766068987E-2</c:v>
                </c:pt>
                <c:pt idx="4">
                  <c:v>5.5156888737740779E-2</c:v>
                </c:pt>
                <c:pt idx="5">
                  <c:v>5.5147545480456583E-2</c:v>
                </c:pt>
                <c:pt idx="6">
                  <c:v>5.5133918752766221E-2</c:v>
                </c:pt>
                <c:pt idx="7">
                  <c:v>5.5121288385975353E-2</c:v>
                </c:pt>
                <c:pt idx="8">
                  <c:v>5.5111075490802318E-2</c:v>
                </c:pt>
                <c:pt idx="9">
                  <c:v>5.5100667080855897E-2</c:v>
                </c:pt>
                <c:pt idx="10">
                  <c:v>5.5090821553860039E-2</c:v>
                </c:pt>
                <c:pt idx="11">
                  <c:v>5.5080932423939501E-2</c:v>
                </c:pt>
                <c:pt idx="12">
                  <c:v>5.5069009168210725E-2</c:v>
                </c:pt>
                <c:pt idx="13">
                  <c:v>5.5062665482677353E-2</c:v>
                </c:pt>
                <c:pt idx="14">
                  <c:v>5.5060248943597172E-2</c:v>
                </c:pt>
                <c:pt idx="15">
                  <c:v>5.5047636948444341E-2</c:v>
                </c:pt>
                <c:pt idx="16">
                  <c:v>5.5040469545103707E-2</c:v>
                </c:pt>
                <c:pt idx="17">
                  <c:v>5.503663116763545E-2</c:v>
                </c:pt>
                <c:pt idx="18">
                  <c:v>5.503097052024649E-2</c:v>
                </c:pt>
                <c:pt idx="19">
                  <c:v>5.5024954767581243E-2</c:v>
                </c:pt>
                <c:pt idx="20">
                  <c:v>5.5015358258548079E-2</c:v>
                </c:pt>
                <c:pt idx="21">
                  <c:v>5.501024203847165E-2</c:v>
                </c:pt>
                <c:pt idx="22">
                  <c:v>5.4999697967760754E-2</c:v>
                </c:pt>
                <c:pt idx="23">
                  <c:v>5.4998396779682081E-2</c:v>
                </c:pt>
                <c:pt idx="24">
                  <c:v>5.4990460519412379E-2</c:v>
                </c:pt>
                <c:pt idx="25">
                  <c:v>5.4985856111350463E-2</c:v>
                </c:pt>
                <c:pt idx="26">
                  <c:v>5.497958509443078E-2</c:v>
                </c:pt>
                <c:pt idx="27">
                  <c:v>5.4978023313979545E-2</c:v>
                </c:pt>
                <c:pt idx="28">
                  <c:v>5.4978038935008945E-2</c:v>
                </c:pt>
                <c:pt idx="29">
                  <c:v>5.4975232784447707E-2</c:v>
                </c:pt>
                <c:pt idx="30">
                  <c:v>5.4968992727583703E-2</c:v>
                </c:pt>
                <c:pt idx="31">
                  <c:v>5.4967640188259358E-2</c:v>
                </c:pt>
                <c:pt idx="32">
                  <c:v>5.4966481805405448E-2</c:v>
                </c:pt>
                <c:pt idx="33">
                  <c:v>5.4966972011588823E-2</c:v>
                </c:pt>
                <c:pt idx="34">
                  <c:v>5.4962520455906091E-2</c:v>
                </c:pt>
                <c:pt idx="35">
                  <c:v>5.4960506532747394E-2</c:v>
                </c:pt>
                <c:pt idx="36">
                  <c:v>5.4957797981409498E-2</c:v>
                </c:pt>
                <c:pt idx="37">
                  <c:v>5.4953579278363522E-2</c:v>
                </c:pt>
                <c:pt idx="38">
                  <c:v>5.4951348341050928E-2</c:v>
                </c:pt>
                <c:pt idx="39">
                  <c:v>5.4944142014760861E-2</c:v>
                </c:pt>
                <c:pt idx="40">
                  <c:v>5.4946213053341943E-2</c:v>
                </c:pt>
                <c:pt idx="41">
                  <c:v>5.4945748851522938E-2</c:v>
                </c:pt>
                <c:pt idx="42">
                  <c:v>5.4945109064945666E-2</c:v>
                </c:pt>
                <c:pt idx="43">
                  <c:v>5.4944589903899124E-2</c:v>
                </c:pt>
                <c:pt idx="44">
                  <c:v>5.4943183758068739E-2</c:v>
                </c:pt>
                <c:pt idx="45">
                  <c:v>5.4943239767658726E-2</c:v>
                </c:pt>
                <c:pt idx="46">
                  <c:v>5.4935882682526666E-2</c:v>
                </c:pt>
                <c:pt idx="47">
                  <c:v>5.4935291448646811E-2</c:v>
                </c:pt>
                <c:pt idx="48">
                  <c:v>5.4928843181011558E-2</c:v>
                </c:pt>
                <c:pt idx="49">
                  <c:v>5.4923047130472538E-2</c:v>
                </c:pt>
                <c:pt idx="50">
                  <c:v>5.492112348177975E-2</c:v>
                </c:pt>
                <c:pt idx="51">
                  <c:v>5.49192852100392E-2</c:v>
                </c:pt>
                <c:pt idx="52">
                  <c:v>5.4919738833535153E-2</c:v>
                </c:pt>
                <c:pt idx="53">
                  <c:v>5.4919746003230747E-2</c:v>
                </c:pt>
                <c:pt idx="54">
                  <c:v>5.4918175015014968E-2</c:v>
                </c:pt>
                <c:pt idx="55">
                  <c:v>5.4916392420159096E-2</c:v>
                </c:pt>
                <c:pt idx="56">
                  <c:v>5.4916033300052867E-2</c:v>
                </c:pt>
                <c:pt idx="57">
                  <c:v>5.4911610945252334E-2</c:v>
                </c:pt>
                <c:pt idx="58">
                  <c:v>5.4917551415690602E-2</c:v>
                </c:pt>
                <c:pt idx="59">
                  <c:v>5.4918472416655983E-2</c:v>
                </c:pt>
                <c:pt idx="60">
                  <c:v>5.492011043600982E-2</c:v>
                </c:pt>
                <c:pt idx="61">
                  <c:v>5.4917290881172837E-2</c:v>
                </c:pt>
                <c:pt idx="62">
                  <c:v>5.4918080044386107E-2</c:v>
                </c:pt>
                <c:pt idx="63">
                  <c:v>5.4915948396187408E-2</c:v>
                </c:pt>
                <c:pt idx="64">
                  <c:v>5.4915725255831355E-2</c:v>
                </c:pt>
                <c:pt idx="65">
                  <c:v>5.4913870993451123E-2</c:v>
                </c:pt>
                <c:pt idx="66">
                  <c:v>5.4915292732484952E-2</c:v>
                </c:pt>
                <c:pt idx="67">
                  <c:v>5.4911543269423296E-2</c:v>
                </c:pt>
                <c:pt idx="68">
                  <c:v>5.4909982120917286E-2</c:v>
                </c:pt>
                <c:pt idx="69">
                  <c:v>5.4910441949127975E-2</c:v>
                </c:pt>
                <c:pt idx="70">
                  <c:v>5.4910486875984751E-2</c:v>
                </c:pt>
                <c:pt idx="71">
                  <c:v>5.4910580516147195E-2</c:v>
                </c:pt>
                <c:pt idx="72">
                  <c:v>5.491435819596658E-2</c:v>
                </c:pt>
                <c:pt idx="73">
                  <c:v>5.4910872278332426E-2</c:v>
                </c:pt>
                <c:pt idx="74">
                  <c:v>5.4913539769628053E-2</c:v>
                </c:pt>
                <c:pt idx="75">
                  <c:v>5.4908434661889299E-2</c:v>
                </c:pt>
                <c:pt idx="76">
                  <c:v>5.4907639056202974E-2</c:v>
                </c:pt>
                <c:pt idx="77">
                  <c:v>5.4909942037333709E-2</c:v>
                </c:pt>
                <c:pt idx="78">
                  <c:v>5.49101152715799E-2</c:v>
                </c:pt>
                <c:pt idx="79">
                  <c:v>5.4909099604804876E-2</c:v>
                </c:pt>
                <c:pt idx="80">
                  <c:v>5.4904211404195956E-2</c:v>
                </c:pt>
                <c:pt idx="81">
                  <c:v>5.4901625106301546E-2</c:v>
                </c:pt>
                <c:pt idx="82">
                  <c:v>5.49002578107727E-2</c:v>
                </c:pt>
                <c:pt idx="83">
                  <c:v>5.4897850376907129E-2</c:v>
                </c:pt>
                <c:pt idx="84">
                  <c:v>5.4899700712468254E-2</c:v>
                </c:pt>
                <c:pt idx="85">
                  <c:v>5.4895689251427321E-2</c:v>
                </c:pt>
                <c:pt idx="86">
                  <c:v>5.4899479405051049E-2</c:v>
                </c:pt>
                <c:pt idx="87">
                  <c:v>5.4900335024175448E-2</c:v>
                </c:pt>
                <c:pt idx="88">
                  <c:v>5.4897934244728483E-2</c:v>
                </c:pt>
                <c:pt idx="89">
                  <c:v>5.4898924010509866E-2</c:v>
                </c:pt>
                <c:pt idx="90">
                  <c:v>5.4899144450823271E-2</c:v>
                </c:pt>
                <c:pt idx="91">
                  <c:v>5.4896153422704617E-2</c:v>
                </c:pt>
                <c:pt idx="92">
                  <c:v>5.4897069213992976E-2</c:v>
                </c:pt>
                <c:pt idx="93">
                  <c:v>5.48990837591459E-2</c:v>
                </c:pt>
                <c:pt idx="94">
                  <c:v>5.4897713428761992E-2</c:v>
                </c:pt>
                <c:pt idx="95">
                  <c:v>5.4894826306121552E-2</c:v>
                </c:pt>
                <c:pt idx="96">
                  <c:v>5.4896209429196499E-2</c:v>
                </c:pt>
                <c:pt idx="97">
                  <c:v>5.489525449083741E-2</c:v>
                </c:pt>
                <c:pt idx="98">
                  <c:v>5.4899945841663425E-2</c:v>
                </c:pt>
                <c:pt idx="99">
                  <c:v>5.4904077451968965E-2</c:v>
                </c:pt>
                <c:pt idx="100">
                  <c:v>5.4900799124259887E-2</c:v>
                </c:pt>
                <c:pt idx="101">
                  <c:v>5.4901410110791395E-2</c:v>
                </c:pt>
                <c:pt idx="102">
                  <c:v>5.4903150053232048E-2</c:v>
                </c:pt>
                <c:pt idx="103">
                  <c:v>5.4899078894513537E-2</c:v>
                </c:pt>
                <c:pt idx="104">
                  <c:v>5.4899444549344027E-2</c:v>
                </c:pt>
                <c:pt idx="105">
                  <c:v>5.489973869900501E-2</c:v>
                </c:pt>
                <c:pt idx="106">
                  <c:v>5.4904545259298138E-2</c:v>
                </c:pt>
                <c:pt idx="107">
                  <c:v>5.4902176106778722E-2</c:v>
                </c:pt>
                <c:pt idx="108">
                  <c:v>5.4901270925717401E-2</c:v>
                </c:pt>
                <c:pt idx="109">
                  <c:v>5.4900187456368224E-2</c:v>
                </c:pt>
                <c:pt idx="110">
                  <c:v>5.489830511472079E-2</c:v>
                </c:pt>
                <c:pt idx="111">
                  <c:v>5.4897424325350538E-2</c:v>
                </c:pt>
                <c:pt idx="112">
                  <c:v>5.4896963821977618E-2</c:v>
                </c:pt>
                <c:pt idx="113">
                  <c:v>5.4900653221520837E-2</c:v>
                </c:pt>
                <c:pt idx="114">
                  <c:v>5.4898865999506094E-2</c:v>
                </c:pt>
                <c:pt idx="115">
                  <c:v>5.490308103671733E-2</c:v>
                </c:pt>
                <c:pt idx="116">
                  <c:v>5.4903125656526677E-2</c:v>
                </c:pt>
                <c:pt idx="117">
                  <c:v>5.490297800509103E-2</c:v>
                </c:pt>
                <c:pt idx="118">
                  <c:v>5.4903337545863164E-2</c:v>
                </c:pt>
                <c:pt idx="119">
                  <c:v>5.490507094935293E-2</c:v>
                </c:pt>
                <c:pt idx="120">
                  <c:v>5.4905509553675277E-2</c:v>
                </c:pt>
                <c:pt idx="121">
                  <c:v>5.4908392994069931E-2</c:v>
                </c:pt>
                <c:pt idx="122">
                  <c:v>5.4909052403990563E-2</c:v>
                </c:pt>
                <c:pt idx="123">
                  <c:v>5.4908040856711769E-2</c:v>
                </c:pt>
                <c:pt idx="124">
                  <c:v>5.4911781483425473E-2</c:v>
                </c:pt>
                <c:pt idx="125">
                  <c:v>5.4911968496825322E-2</c:v>
                </c:pt>
                <c:pt idx="126">
                  <c:v>5.4916015299588658E-2</c:v>
                </c:pt>
                <c:pt idx="127">
                  <c:v>5.4914566210929383E-2</c:v>
                </c:pt>
                <c:pt idx="128">
                  <c:v>5.4920788238074288E-2</c:v>
                </c:pt>
                <c:pt idx="129">
                  <c:v>5.4920348777174839E-2</c:v>
                </c:pt>
                <c:pt idx="130">
                  <c:v>5.492024205478465E-2</c:v>
                </c:pt>
                <c:pt idx="131">
                  <c:v>5.4920758916902707E-2</c:v>
                </c:pt>
                <c:pt idx="132">
                  <c:v>5.491409117330244E-2</c:v>
                </c:pt>
                <c:pt idx="133">
                  <c:v>5.4912029970694061E-2</c:v>
                </c:pt>
                <c:pt idx="134">
                  <c:v>5.4910789981025616E-2</c:v>
                </c:pt>
                <c:pt idx="135">
                  <c:v>5.4910189137626693E-2</c:v>
                </c:pt>
                <c:pt idx="136">
                  <c:v>5.4905526051245525E-2</c:v>
                </c:pt>
                <c:pt idx="137">
                  <c:v>5.490314665504837E-2</c:v>
                </c:pt>
                <c:pt idx="138">
                  <c:v>5.4901480047869371E-2</c:v>
                </c:pt>
                <c:pt idx="139">
                  <c:v>5.4898349006761542E-2</c:v>
                </c:pt>
                <c:pt idx="140">
                  <c:v>5.4899786675904061E-2</c:v>
                </c:pt>
                <c:pt idx="141">
                  <c:v>5.4900319483329803E-2</c:v>
                </c:pt>
                <c:pt idx="142">
                  <c:v>5.4903438821333229E-2</c:v>
                </c:pt>
                <c:pt idx="143">
                  <c:v>5.4902729876365304E-2</c:v>
                </c:pt>
                <c:pt idx="144">
                  <c:v>5.4903523158228038E-2</c:v>
                </c:pt>
                <c:pt idx="145">
                  <c:v>5.4898796804583323E-2</c:v>
                </c:pt>
                <c:pt idx="146">
                  <c:v>5.4898284756514627E-2</c:v>
                </c:pt>
                <c:pt idx="147">
                  <c:v>5.489487699279804E-2</c:v>
                </c:pt>
                <c:pt idx="148">
                  <c:v>5.4893174275342925E-2</c:v>
                </c:pt>
                <c:pt idx="149">
                  <c:v>5.4895686942830382E-2</c:v>
                </c:pt>
                <c:pt idx="150">
                  <c:v>5.4891176966330585E-2</c:v>
                </c:pt>
                <c:pt idx="151">
                  <c:v>5.4889940621006529E-2</c:v>
                </c:pt>
                <c:pt idx="152">
                  <c:v>5.4889304358371548E-2</c:v>
                </c:pt>
                <c:pt idx="153">
                  <c:v>5.4887695134440764E-2</c:v>
                </c:pt>
                <c:pt idx="154">
                  <c:v>5.4888080193100042E-2</c:v>
                </c:pt>
                <c:pt idx="155">
                  <c:v>5.4886022142891767E-2</c:v>
                </c:pt>
                <c:pt idx="156">
                  <c:v>5.4886653468030351E-2</c:v>
                </c:pt>
                <c:pt idx="157">
                  <c:v>5.4883020527746899E-2</c:v>
                </c:pt>
                <c:pt idx="158">
                  <c:v>5.4880844644294581E-2</c:v>
                </c:pt>
                <c:pt idx="159">
                  <c:v>5.4884103832674745E-2</c:v>
                </c:pt>
                <c:pt idx="160">
                  <c:v>5.488374204573733E-2</c:v>
                </c:pt>
                <c:pt idx="161">
                  <c:v>5.4880550779507618E-2</c:v>
                </c:pt>
                <c:pt idx="162">
                  <c:v>5.4882023467968215E-2</c:v>
                </c:pt>
                <c:pt idx="163">
                  <c:v>5.4882506912725129E-2</c:v>
                </c:pt>
                <c:pt idx="164">
                  <c:v>5.4885753121781795E-2</c:v>
                </c:pt>
                <c:pt idx="165">
                  <c:v>5.4881637107013673E-2</c:v>
                </c:pt>
                <c:pt idx="166">
                  <c:v>5.4880433741546018E-2</c:v>
                </c:pt>
                <c:pt idx="167">
                  <c:v>5.4880237949357501E-2</c:v>
                </c:pt>
                <c:pt idx="168">
                  <c:v>5.4882129181129273E-2</c:v>
                </c:pt>
                <c:pt idx="169">
                  <c:v>5.487979208729038E-2</c:v>
                </c:pt>
                <c:pt idx="170">
                  <c:v>5.4877522481541027E-2</c:v>
                </c:pt>
                <c:pt idx="171">
                  <c:v>5.4878558887550645E-2</c:v>
                </c:pt>
                <c:pt idx="172">
                  <c:v>5.4878317051362188E-2</c:v>
                </c:pt>
                <c:pt idx="173">
                  <c:v>5.4882061911624688E-2</c:v>
                </c:pt>
                <c:pt idx="174">
                  <c:v>5.4880680599525479E-2</c:v>
                </c:pt>
                <c:pt idx="175">
                  <c:v>5.4877744556048283E-2</c:v>
                </c:pt>
                <c:pt idx="176">
                  <c:v>5.4883496490328233E-2</c:v>
                </c:pt>
                <c:pt idx="177">
                  <c:v>5.4886828154459805E-2</c:v>
                </c:pt>
                <c:pt idx="178">
                  <c:v>5.488806030613607E-2</c:v>
                </c:pt>
                <c:pt idx="179">
                  <c:v>5.4882291206489443E-2</c:v>
                </c:pt>
                <c:pt idx="180">
                  <c:v>5.4887037767723926E-2</c:v>
                </c:pt>
                <c:pt idx="181">
                  <c:v>5.4889798969180378E-2</c:v>
                </c:pt>
                <c:pt idx="182">
                  <c:v>5.4891150196187198E-2</c:v>
                </c:pt>
                <c:pt idx="183">
                  <c:v>5.4894284820795829E-2</c:v>
                </c:pt>
                <c:pt idx="184">
                  <c:v>5.4895615408618537E-2</c:v>
                </c:pt>
                <c:pt idx="185">
                  <c:v>5.4895731692789863E-2</c:v>
                </c:pt>
                <c:pt idx="186">
                  <c:v>5.4894986139664675E-2</c:v>
                </c:pt>
                <c:pt idx="187">
                  <c:v>5.4896389859134524E-2</c:v>
                </c:pt>
                <c:pt idx="188">
                  <c:v>5.4898752177144891E-2</c:v>
                </c:pt>
                <c:pt idx="189">
                  <c:v>5.489677016437533E-2</c:v>
                </c:pt>
                <c:pt idx="190">
                  <c:v>5.4897742494200812E-2</c:v>
                </c:pt>
                <c:pt idx="191">
                  <c:v>5.4895354783846828E-2</c:v>
                </c:pt>
                <c:pt idx="192">
                  <c:v>5.4892193983313797E-2</c:v>
                </c:pt>
                <c:pt idx="193">
                  <c:v>5.4888412877462898E-2</c:v>
                </c:pt>
                <c:pt idx="194">
                  <c:v>5.4885471996895606E-2</c:v>
                </c:pt>
                <c:pt idx="195">
                  <c:v>5.4885981625793077E-2</c:v>
                </c:pt>
                <c:pt idx="196">
                  <c:v>5.4880501151387179E-2</c:v>
                </c:pt>
                <c:pt idx="197">
                  <c:v>5.4884778362058434E-2</c:v>
                </c:pt>
                <c:pt idx="198">
                  <c:v>5.4883725985202372E-2</c:v>
                </c:pt>
                <c:pt idx="199">
                  <c:v>5.4885070783315268E-2</c:v>
                </c:pt>
                <c:pt idx="200">
                  <c:v>5.4887124741957789E-2</c:v>
                </c:pt>
                <c:pt idx="201">
                  <c:v>5.488897567750959E-2</c:v>
                </c:pt>
                <c:pt idx="202">
                  <c:v>5.4890633456490957E-2</c:v>
                </c:pt>
                <c:pt idx="203">
                  <c:v>5.4888868609885379E-2</c:v>
                </c:pt>
                <c:pt idx="204">
                  <c:v>5.489003772986964E-2</c:v>
                </c:pt>
                <c:pt idx="205">
                  <c:v>5.4888377942490532E-2</c:v>
                </c:pt>
                <c:pt idx="206">
                  <c:v>5.4885266538673358E-2</c:v>
                </c:pt>
                <c:pt idx="207">
                  <c:v>5.4883312504218053E-2</c:v>
                </c:pt>
                <c:pt idx="208">
                  <c:v>5.4882012994999584E-2</c:v>
                </c:pt>
                <c:pt idx="209">
                  <c:v>5.487903809340744E-2</c:v>
                </c:pt>
                <c:pt idx="210">
                  <c:v>5.4880436449892725E-2</c:v>
                </c:pt>
                <c:pt idx="211">
                  <c:v>5.4885885538483253E-2</c:v>
                </c:pt>
                <c:pt idx="212">
                  <c:v>5.4884718978771792E-2</c:v>
                </c:pt>
                <c:pt idx="213">
                  <c:v>5.4882660046172385E-2</c:v>
                </c:pt>
                <c:pt idx="214">
                  <c:v>5.4882826610333717E-2</c:v>
                </c:pt>
                <c:pt idx="215">
                  <c:v>5.4881668325919813E-2</c:v>
                </c:pt>
                <c:pt idx="216">
                  <c:v>5.4881106102470149E-2</c:v>
                </c:pt>
                <c:pt idx="217">
                  <c:v>5.4877818434128665E-2</c:v>
                </c:pt>
                <c:pt idx="218">
                  <c:v>5.4878538302001102E-2</c:v>
                </c:pt>
                <c:pt idx="219">
                  <c:v>5.4879350264742964E-2</c:v>
                </c:pt>
                <c:pt idx="220">
                  <c:v>5.4880501434365202E-2</c:v>
                </c:pt>
                <c:pt idx="221">
                  <c:v>5.4884239502145736E-2</c:v>
                </c:pt>
                <c:pt idx="222">
                  <c:v>5.488591076513849E-2</c:v>
                </c:pt>
                <c:pt idx="223">
                  <c:v>5.4885803932186943E-2</c:v>
                </c:pt>
                <c:pt idx="224">
                  <c:v>5.4884316309112481E-2</c:v>
                </c:pt>
                <c:pt idx="225">
                  <c:v>5.488401241774684E-2</c:v>
                </c:pt>
                <c:pt idx="226">
                  <c:v>5.4884468900207643E-2</c:v>
                </c:pt>
                <c:pt idx="227">
                  <c:v>5.4889579601576546E-2</c:v>
                </c:pt>
                <c:pt idx="228">
                  <c:v>5.4887177274965851E-2</c:v>
                </c:pt>
                <c:pt idx="229">
                  <c:v>5.4892095081142886E-2</c:v>
                </c:pt>
                <c:pt idx="230">
                  <c:v>5.4894275005169808E-2</c:v>
                </c:pt>
                <c:pt idx="231">
                  <c:v>5.4891720864122355E-2</c:v>
                </c:pt>
                <c:pt idx="232">
                  <c:v>5.4892162076619302E-2</c:v>
                </c:pt>
                <c:pt idx="233">
                  <c:v>5.4892591115156923E-2</c:v>
                </c:pt>
                <c:pt idx="234">
                  <c:v>5.4900077509252264E-2</c:v>
                </c:pt>
                <c:pt idx="235">
                  <c:v>5.489899458598118E-2</c:v>
                </c:pt>
                <c:pt idx="236">
                  <c:v>5.4899390076845737E-2</c:v>
                </c:pt>
                <c:pt idx="237">
                  <c:v>5.4900645764426388E-2</c:v>
                </c:pt>
                <c:pt idx="238">
                  <c:v>5.4901099059229942E-2</c:v>
                </c:pt>
                <c:pt idx="239">
                  <c:v>5.4902362162537285E-2</c:v>
                </c:pt>
                <c:pt idx="240">
                  <c:v>5.4901190912948462E-2</c:v>
                </c:pt>
                <c:pt idx="241">
                  <c:v>5.4904193332039899E-2</c:v>
                </c:pt>
                <c:pt idx="242">
                  <c:v>5.4903948256499233E-2</c:v>
                </c:pt>
                <c:pt idx="243">
                  <c:v>5.4906264622865242E-2</c:v>
                </c:pt>
                <c:pt idx="244">
                  <c:v>5.4902638645841377E-2</c:v>
                </c:pt>
                <c:pt idx="245">
                  <c:v>5.4901060938001581E-2</c:v>
                </c:pt>
                <c:pt idx="246">
                  <c:v>5.4899445142049141E-2</c:v>
                </c:pt>
                <c:pt idx="247">
                  <c:v>5.4898629328861935E-2</c:v>
                </c:pt>
                <c:pt idx="248">
                  <c:v>5.4899491010113058E-2</c:v>
                </c:pt>
                <c:pt idx="249">
                  <c:v>5.489567747456435E-2</c:v>
                </c:pt>
                <c:pt idx="250">
                  <c:v>5.489523411770493E-2</c:v>
                </c:pt>
                <c:pt idx="251">
                  <c:v>5.4899161372391377E-2</c:v>
                </c:pt>
                <c:pt idx="252">
                  <c:v>5.4898205621120029E-2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7-7047-819B-9D9AB1F9F283}"/>
            </c:ext>
          </c:extLst>
        </c:ser>
        <c:ser>
          <c:idx val="1"/>
          <c:order val="1"/>
          <c:tx>
            <c:strRef>
              <c:f>'CIR Simulation (MLE)'!$F$1</c:f>
              <c:strCache>
                <c:ptCount val="1"/>
                <c:pt idx="0">
                  <c:v>Sims 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(MLE)'!$F$2:$F$254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5.5182537990893753E-2</c:v>
                </c:pt>
                <c:pt idx="2">
                  <c:v>5.5169700211966752E-2</c:v>
                </c:pt>
                <c:pt idx="3">
                  <c:v>5.5160342125940329E-2</c:v>
                </c:pt>
                <c:pt idx="4">
                  <c:v>5.5151571767270424E-2</c:v>
                </c:pt>
                <c:pt idx="5">
                  <c:v>5.5139562883017294E-2</c:v>
                </c:pt>
                <c:pt idx="6">
                  <c:v>5.5127830966374483E-2</c:v>
                </c:pt>
                <c:pt idx="7">
                  <c:v>5.512041015435943E-2</c:v>
                </c:pt>
                <c:pt idx="8">
                  <c:v>5.5111494434612461E-2</c:v>
                </c:pt>
                <c:pt idx="9">
                  <c:v>5.5103720482788526E-2</c:v>
                </c:pt>
                <c:pt idx="10">
                  <c:v>5.5095096217601322E-2</c:v>
                </c:pt>
                <c:pt idx="11">
                  <c:v>5.5084590964707143E-2</c:v>
                </c:pt>
                <c:pt idx="12">
                  <c:v>5.5078405293897931E-2</c:v>
                </c:pt>
                <c:pt idx="13">
                  <c:v>5.5072482076672744E-2</c:v>
                </c:pt>
                <c:pt idx="14">
                  <c:v>5.5063239977673734E-2</c:v>
                </c:pt>
                <c:pt idx="15">
                  <c:v>5.5057177084754841E-2</c:v>
                </c:pt>
                <c:pt idx="16">
                  <c:v>5.5050990801215088E-2</c:v>
                </c:pt>
                <c:pt idx="17">
                  <c:v>5.5042662296877341E-2</c:v>
                </c:pt>
                <c:pt idx="18">
                  <c:v>5.5037225214848454E-2</c:v>
                </c:pt>
                <c:pt idx="19">
                  <c:v>5.5032987063318647E-2</c:v>
                </c:pt>
                <c:pt idx="20">
                  <c:v>5.5026925887867013E-2</c:v>
                </c:pt>
                <c:pt idx="21">
                  <c:v>5.5023838816089056E-2</c:v>
                </c:pt>
                <c:pt idx="22">
                  <c:v>5.5018674473975446E-2</c:v>
                </c:pt>
                <c:pt idx="23">
                  <c:v>5.5016249688784331E-2</c:v>
                </c:pt>
                <c:pt idx="24">
                  <c:v>5.5015747267682165E-2</c:v>
                </c:pt>
                <c:pt idx="25">
                  <c:v>5.5010959950849647E-2</c:v>
                </c:pt>
                <c:pt idx="26">
                  <c:v>5.5005863516063035E-2</c:v>
                </c:pt>
                <c:pt idx="27">
                  <c:v>5.5003642799799864E-2</c:v>
                </c:pt>
                <c:pt idx="28">
                  <c:v>5.4997418148292336E-2</c:v>
                </c:pt>
                <c:pt idx="29">
                  <c:v>5.49916760611786E-2</c:v>
                </c:pt>
                <c:pt idx="30">
                  <c:v>5.4983416842142634E-2</c:v>
                </c:pt>
                <c:pt idx="31">
                  <c:v>5.4977758740873586E-2</c:v>
                </c:pt>
                <c:pt idx="32">
                  <c:v>5.497084952461747E-2</c:v>
                </c:pt>
                <c:pt idx="33">
                  <c:v>5.4966987126902955E-2</c:v>
                </c:pt>
                <c:pt idx="34">
                  <c:v>5.4961845674391094E-2</c:v>
                </c:pt>
                <c:pt idx="35">
                  <c:v>5.4961371145041051E-2</c:v>
                </c:pt>
                <c:pt idx="36">
                  <c:v>5.4957484202761808E-2</c:v>
                </c:pt>
                <c:pt idx="37">
                  <c:v>5.4957752221131979E-2</c:v>
                </c:pt>
                <c:pt idx="38">
                  <c:v>5.495573069682335E-2</c:v>
                </c:pt>
                <c:pt idx="39">
                  <c:v>5.4949774126259315E-2</c:v>
                </c:pt>
                <c:pt idx="40">
                  <c:v>5.4949226697810626E-2</c:v>
                </c:pt>
                <c:pt idx="41">
                  <c:v>5.4950551394655898E-2</c:v>
                </c:pt>
                <c:pt idx="42">
                  <c:v>5.4950504688399786E-2</c:v>
                </c:pt>
                <c:pt idx="43">
                  <c:v>5.4944431333608913E-2</c:v>
                </c:pt>
                <c:pt idx="44">
                  <c:v>5.4945107827079051E-2</c:v>
                </c:pt>
                <c:pt idx="45">
                  <c:v>5.4938480411997254E-2</c:v>
                </c:pt>
                <c:pt idx="46">
                  <c:v>5.4936473634218934E-2</c:v>
                </c:pt>
                <c:pt idx="47">
                  <c:v>5.4934869823658063E-2</c:v>
                </c:pt>
                <c:pt idx="48">
                  <c:v>5.4936409665399227E-2</c:v>
                </c:pt>
                <c:pt idx="49">
                  <c:v>5.4936185156798108E-2</c:v>
                </c:pt>
                <c:pt idx="50">
                  <c:v>5.4929038863242421E-2</c:v>
                </c:pt>
                <c:pt idx="51">
                  <c:v>5.4931663458721899E-2</c:v>
                </c:pt>
                <c:pt idx="52">
                  <c:v>5.4924726923838645E-2</c:v>
                </c:pt>
                <c:pt idx="53">
                  <c:v>5.4920978466429925E-2</c:v>
                </c:pt>
                <c:pt idx="54">
                  <c:v>5.491807089576696E-2</c:v>
                </c:pt>
                <c:pt idx="55">
                  <c:v>5.492145295708499E-2</c:v>
                </c:pt>
                <c:pt idx="56">
                  <c:v>5.4917911077208441E-2</c:v>
                </c:pt>
                <c:pt idx="57">
                  <c:v>5.4923598972853781E-2</c:v>
                </c:pt>
                <c:pt idx="58">
                  <c:v>5.491983059558344E-2</c:v>
                </c:pt>
                <c:pt idx="59">
                  <c:v>5.4916520792207671E-2</c:v>
                </c:pt>
                <c:pt idx="60">
                  <c:v>5.4917841936927059E-2</c:v>
                </c:pt>
                <c:pt idx="61">
                  <c:v>5.4912688407736436E-2</c:v>
                </c:pt>
                <c:pt idx="62">
                  <c:v>5.4912424025159438E-2</c:v>
                </c:pt>
                <c:pt idx="63">
                  <c:v>5.4912409391219087E-2</c:v>
                </c:pt>
                <c:pt idx="64">
                  <c:v>5.4910448593544971E-2</c:v>
                </c:pt>
                <c:pt idx="65">
                  <c:v>5.4913827087096072E-2</c:v>
                </c:pt>
                <c:pt idx="66">
                  <c:v>5.4916924533249971E-2</c:v>
                </c:pt>
                <c:pt idx="67">
                  <c:v>5.4919248037187528E-2</c:v>
                </c:pt>
                <c:pt idx="68">
                  <c:v>5.4919788440046809E-2</c:v>
                </c:pt>
                <c:pt idx="69">
                  <c:v>5.492087855134635E-2</c:v>
                </c:pt>
                <c:pt idx="70">
                  <c:v>5.4921625274264245E-2</c:v>
                </c:pt>
                <c:pt idx="71">
                  <c:v>5.4923542529809466E-2</c:v>
                </c:pt>
                <c:pt idx="72">
                  <c:v>5.4922462593884912E-2</c:v>
                </c:pt>
                <c:pt idx="73">
                  <c:v>5.4921685917818E-2</c:v>
                </c:pt>
                <c:pt idx="74">
                  <c:v>5.4921564106756436E-2</c:v>
                </c:pt>
                <c:pt idx="75">
                  <c:v>5.4921675956353243E-2</c:v>
                </c:pt>
                <c:pt idx="76">
                  <c:v>5.4918077905400563E-2</c:v>
                </c:pt>
                <c:pt idx="77">
                  <c:v>5.4919648333152139E-2</c:v>
                </c:pt>
                <c:pt idx="78">
                  <c:v>5.4919644513664677E-2</c:v>
                </c:pt>
                <c:pt idx="79">
                  <c:v>5.4919580808380254E-2</c:v>
                </c:pt>
                <c:pt idx="80">
                  <c:v>5.4917152864164286E-2</c:v>
                </c:pt>
                <c:pt idx="81">
                  <c:v>5.4917840624936702E-2</c:v>
                </c:pt>
                <c:pt idx="82">
                  <c:v>5.4914492688853456E-2</c:v>
                </c:pt>
                <c:pt idx="83">
                  <c:v>5.4914963421899353E-2</c:v>
                </c:pt>
                <c:pt idx="84">
                  <c:v>5.4911008473737526E-2</c:v>
                </c:pt>
                <c:pt idx="85">
                  <c:v>5.4912417468003738E-2</c:v>
                </c:pt>
                <c:pt idx="86">
                  <c:v>5.4910000016630933E-2</c:v>
                </c:pt>
                <c:pt idx="87">
                  <c:v>5.4913482418907117E-2</c:v>
                </c:pt>
                <c:pt idx="88">
                  <c:v>5.4914470862882085E-2</c:v>
                </c:pt>
                <c:pt idx="89">
                  <c:v>5.4916268270390957E-2</c:v>
                </c:pt>
                <c:pt idx="90">
                  <c:v>5.4913131500169299E-2</c:v>
                </c:pt>
                <c:pt idx="91">
                  <c:v>5.4917823434609173E-2</c:v>
                </c:pt>
                <c:pt idx="92">
                  <c:v>5.4921093245466658E-2</c:v>
                </c:pt>
                <c:pt idx="93">
                  <c:v>5.4922932188219732E-2</c:v>
                </c:pt>
                <c:pt idx="94">
                  <c:v>5.4923188574305983E-2</c:v>
                </c:pt>
                <c:pt idx="95">
                  <c:v>5.4922462698475907E-2</c:v>
                </c:pt>
                <c:pt idx="96">
                  <c:v>5.4924044503204615E-2</c:v>
                </c:pt>
                <c:pt idx="97">
                  <c:v>5.4923598065666733E-2</c:v>
                </c:pt>
                <c:pt idx="98">
                  <c:v>5.4923363222600684E-2</c:v>
                </c:pt>
                <c:pt idx="99">
                  <c:v>5.4918869978715708E-2</c:v>
                </c:pt>
                <c:pt idx="100">
                  <c:v>5.4915763107749489E-2</c:v>
                </c:pt>
                <c:pt idx="101">
                  <c:v>5.491552038377575E-2</c:v>
                </c:pt>
                <c:pt idx="102">
                  <c:v>5.4911987894853041E-2</c:v>
                </c:pt>
                <c:pt idx="103">
                  <c:v>5.490514653335777E-2</c:v>
                </c:pt>
                <c:pt idx="104">
                  <c:v>5.4903312631225255E-2</c:v>
                </c:pt>
                <c:pt idx="105">
                  <c:v>5.490377315145302E-2</c:v>
                </c:pt>
                <c:pt idx="106">
                  <c:v>5.490199665730891E-2</c:v>
                </c:pt>
                <c:pt idx="107">
                  <c:v>5.4897555463984268E-2</c:v>
                </c:pt>
                <c:pt idx="108">
                  <c:v>5.489747305070742E-2</c:v>
                </c:pt>
                <c:pt idx="109">
                  <c:v>5.489310990726487E-2</c:v>
                </c:pt>
                <c:pt idx="110">
                  <c:v>5.4891904324419614E-2</c:v>
                </c:pt>
                <c:pt idx="111">
                  <c:v>5.4893274559075611E-2</c:v>
                </c:pt>
                <c:pt idx="112">
                  <c:v>5.4893528255796381E-2</c:v>
                </c:pt>
                <c:pt idx="113">
                  <c:v>5.4892185107985547E-2</c:v>
                </c:pt>
                <c:pt idx="114">
                  <c:v>5.4893631562852999E-2</c:v>
                </c:pt>
                <c:pt idx="115">
                  <c:v>5.4896465098516478E-2</c:v>
                </c:pt>
                <c:pt idx="116">
                  <c:v>5.4895304769044521E-2</c:v>
                </c:pt>
                <c:pt idx="117">
                  <c:v>5.4892488002831176E-2</c:v>
                </c:pt>
                <c:pt idx="118">
                  <c:v>5.4887879065977974E-2</c:v>
                </c:pt>
                <c:pt idx="119">
                  <c:v>5.488700139971283E-2</c:v>
                </c:pt>
                <c:pt idx="120">
                  <c:v>5.4889364846828603E-2</c:v>
                </c:pt>
                <c:pt idx="121">
                  <c:v>5.4885780934176537E-2</c:v>
                </c:pt>
                <c:pt idx="122">
                  <c:v>5.4887011195352053E-2</c:v>
                </c:pt>
                <c:pt idx="123">
                  <c:v>5.4886295319326213E-2</c:v>
                </c:pt>
                <c:pt idx="124">
                  <c:v>5.4890263913539329E-2</c:v>
                </c:pt>
                <c:pt idx="125">
                  <c:v>5.4890526556675333E-2</c:v>
                </c:pt>
                <c:pt idx="126">
                  <c:v>5.4889098424015889E-2</c:v>
                </c:pt>
                <c:pt idx="127">
                  <c:v>5.4892713133131314E-2</c:v>
                </c:pt>
                <c:pt idx="128">
                  <c:v>5.4893293009245531E-2</c:v>
                </c:pt>
                <c:pt idx="129">
                  <c:v>5.4893687440984065E-2</c:v>
                </c:pt>
                <c:pt idx="130">
                  <c:v>5.4893798027464774E-2</c:v>
                </c:pt>
                <c:pt idx="131">
                  <c:v>5.4894573910226396E-2</c:v>
                </c:pt>
                <c:pt idx="132">
                  <c:v>5.4892364102892749E-2</c:v>
                </c:pt>
                <c:pt idx="133">
                  <c:v>5.4896298952210328E-2</c:v>
                </c:pt>
                <c:pt idx="134">
                  <c:v>5.4896869138398127E-2</c:v>
                </c:pt>
                <c:pt idx="135">
                  <c:v>5.4902783429109585E-2</c:v>
                </c:pt>
                <c:pt idx="136">
                  <c:v>5.4901461507357772E-2</c:v>
                </c:pt>
                <c:pt idx="137">
                  <c:v>5.4897126839445531E-2</c:v>
                </c:pt>
                <c:pt idx="138">
                  <c:v>5.4898426728355765E-2</c:v>
                </c:pt>
                <c:pt idx="139">
                  <c:v>5.4899954636858997E-2</c:v>
                </c:pt>
                <c:pt idx="140">
                  <c:v>5.4901078992830504E-2</c:v>
                </c:pt>
                <c:pt idx="141">
                  <c:v>5.4904668926849094E-2</c:v>
                </c:pt>
                <c:pt idx="142">
                  <c:v>5.4901992226450674E-2</c:v>
                </c:pt>
                <c:pt idx="143">
                  <c:v>5.490242284312543E-2</c:v>
                </c:pt>
                <c:pt idx="144">
                  <c:v>5.4901412698067566E-2</c:v>
                </c:pt>
                <c:pt idx="145">
                  <c:v>5.4902149769203532E-2</c:v>
                </c:pt>
                <c:pt idx="146">
                  <c:v>5.4899426747180957E-2</c:v>
                </c:pt>
                <c:pt idx="147">
                  <c:v>5.4900782445159516E-2</c:v>
                </c:pt>
                <c:pt idx="148">
                  <c:v>5.4899057359613333E-2</c:v>
                </c:pt>
                <c:pt idx="149">
                  <c:v>5.4892227675538474E-2</c:v>
                </c:pt>
                <c:pt idx="150">
                  <c:v>5.4891087227873517E-2</c:v>
                </c:pt>
                <c:pt idx="151">
                  <c:v>5.4886450739652988E-2</c:v>
                </c:pt>
                <c:pt idx="152">
                  <c:v>5.4892780523042181E-2</c:v>
                </c:pt>
                <c:pt idx="153">
                  <c:v>5.4889867573759188E-2</c:v>
                </c:pt>
                <c:pt idx="154">
                  <c:v>5.4887712991933298E-2</c:v>
                </c:pt>
                <c:pt idx="155">
                  <c:v>5.4884233133834066E-2</c:v>
                </c:pt>
                <c:pt idx="156">
                  <c:v>5.4882168756082914E-2</c:v>
                </c:pt>
                <c:pt idx="157">
                  <c:v>5.4882236204827288E-2</c:v>
                </c:pt>
                <c:pt idx="158">
                  <c:v>5.4880394607078255E-2</c:v>
                </c:pt>
                <c:pt idx="159">
                  <c:v>5.4878844111275457E-2</c:v>
                </c:pt>
                <c:pt idx="160">
                  <c:v>5.4878374525651433E-2</c:v>
                </c:pt>
                <c:pt idx="161">
                  <c:v>5.4880695449235926E-2</c:v>
                </c:pt>
                <c:pt idx="162">
                  <c:v>5.4882469005119228E-2</c:v>
                </c:pt>
                <c:pt idx="163">
                  <c:v>5.4880416650357262E-2</c:v>
                </c:pt>
                <c:pt idx="164">
                  <c:v>5.4880317681269365E-2</c:v>
                </c:pt>
                <c:pt idx="165">
                  <c:v>5.4881535663658665E-2</c:v>
                </c:pt>
                <c:pt idx="166">
                  <c:v>5.4879532004600579E-2</c:v>
                </c:pt>
                <c:pt idx="167">
                  <c:v>5.4878062504848786E-2</c:v>
                </c:pt>
                <c:pt idx="168">
                  <c:v>5.4878675878180953E-2</c:v>
                </c:pt>
                <c:pt idx="169">
                  <c:v>5.4880390823815087E-2</c:v>
                </c:pt>
                <c:pt idx="170">
                  <c:v>5.4880729021852287E-2</c:v>
                </c:pt>
                <c:pt idx="171">
                  <c:v>5.48833008239899E-2</c:v>
                </c:pt>
                <c:pt idx="172">
                  <c:v>5.488291050340996E-2</c:v>
                </c:pt>
                <c:pt idx="173">
                  <c:v>5.4886892187094548E-2</c:v>
                </c:pt>
                <c:pt idx="174">
                  <c:v>5.488495802965853E-2</c:v>
                </c:pt>
                <c:pt idx="175">
                  <c:v>5.4883796108804513E-2</c:v>
                </c:pt>
                <c:pt idx="176">
                  <c:v>5.4885201902312428E-2</c:v>
                </c:pt>
                <c:pt idx="177">
                  <c:v>5.4885137338410224E-2</c:v>
                </c:pt>
                <c:pt idx="178">
                  <c:v>5.4888055794735248E-2</c:v>
                </c:pt>
                <c:pt idx="179">
                  <c:v>5.4888855325829579E-2</c:v>
                </c:pt>
                <c:pt idx="180">
                  <c:v>5.4887769190217588E-2</c:v>
                </c:pt>
                <c:pt idx="181">
                  <c:v>5.4891250390571647E-2</c:v>
                </c:pt>
                <c:pt idx="182">
                  <c:v>5.489341018667275E-2</c:v>
                </c:pt>
                <c:pt idx="183">
                  <c:v>5.4893435299983626E-2</c:v>
                </c:pt>
                <c:pt idx="184">
                  <c:v>5.4890904595766683E-2</c:v>
                </c:pt>
                <c:pt idx="185">
                  <c:v>5.4884762961081739E-2</c:v>
                </c:pt>
                <c:pt idx="186">
                  <c:v>5.4885035248042745E-2</c:v>
                </c:pt>
                <c:pt idx="187">
                  <c:v>5.4882528810584232E-2</c:v>
                </c:pt>
                <c:pt idx="188">
                  <c:v>5.4885436815849509E-2</c:v>
                </c:pt>
                <c:pt idx="189">
                  <c:v>5.4890388904389263E-2</c:v>
                </c:pt>
                <c:pt idx="190">
                  <c:v>5.4889931686739564E-2</c:v>
                </c:pt>
                <c:pt idx="191">
                  <c:v>5.4889951553855267E-2</c:v>
                </c:pt>
                <c:pt idx="192">
                  <c:v>5.488866836482096E-2</c:v>
                </c:pt>
                <c:pt idx="193">
                  <c:v>5.4888536923347366E-2</c:v>
                </c:pt>
                <c:pt idx="194">
                  <c:v>5.488415809823731E-2</c:v>
                </c:pt>
                <c:pt idx="195">
                  <c:v>5.488849575004702E-2</c:v>
                </c:pt>
                <c:pt idx="196">
                  <c:v>5.4889800083584961E-2</c:v>
                </c:pt>
                <c:pt idx="197">
                  <c:v>5.4891693856506475E-2</c:v>
                </c:pt>
                <c:pt idx="198">
                  <c:v>5.4891015625339087E-2</c:v>
                </c:pt>
                <c:pt idx="199">
                  <c:v>5.4890728329648114E-2</c:v>
                </c:pt>
                <c:pt idx="200">
                  <c:v>5.4891683851494857E-2</c:v>
                </c:pt>
                <c:pt idx="201">
                  <c:v>5.4892290370954652E-2</c:v>
                </c:pt>
                <c:pt idx="202">
                  <c:v>5.4891796634903164E-2</c:v>
                </c:pt>
                <c:pt idx="203">
                  <c:v>5.4889079432844594E-2</c:v>
                </c:pt>
                <c:pt idx="204">
                  <c:v>5.4889607286959449E-2</c:v>
                </c:pt>
                <c:pt idx="205">
                  <c:v>5.4883138692151764E-2</c:v>
                </c:pt>
                <c:pt idx="206">
                  <c:v>5.4882191802998435E-2</c:v>
                </c:pt>
                <c:pt idx="207">
                  <c:v>5.4891157116073133E-2</c:v>
                </c:pt>
                <c:pt idx="208">
                  <c:v>5.4889329209375566E-2</c:v>
                </c:pt>
                <c:pt idx="209">
                  <c:v>5.4887677702423504E-2</c:v>
                </c:pt>
                <c:pt idx="210">
                  <c:v>5.4886123359639348E-2</c:v>
                </c:pt>
                <c:pt idx="211">
                  <c:v>5.4888753016154958E-2</c:v>
                </c:pt>
                <c:pt idx="212">
                  <c:v>5.4888691286460595E-2</c:v>
                </c:pt>
                <c:pt idx="213">
                  <c:v>5.4889102669542111E-2</c:v>
                </c:pt>
                <c:pt idx="214">
                  <c:v>5.4889145202199917E-2</c:v>
                </c:pt>
                <c:pt idx="215">
                  <c:v>5.4888956707008552E-2</c:v>
                </c:pt>
                <c:pt idx="216">
                  <c:v>5.4888048258399137E-2</c:v>
                </c:pt>
                <c:pt idx="217">
                  <c:v>5.4887441967659233E-2</c:v>
                </c:pt>
                <c:pt idx="218">
                  <c:v>5.4882537939838293E-2</c:v>
                </c:pt>
                <c:pt idx="219">
                  <c:v>5.487931269958124E-2</c:v>
                </c:pt>
                <c:pt idx="220">
                  <c:v>5.4877901074359851E-2</c:v>
                </c:pt>
                <c:pt idx="221">
                  <c:v>5.4878066575375688E-2</c:v>
                </c:pt>
                <c:pt idx="222">
                  <c:v>5.487935066679827E-2</c:v>
                </c:pt>
                <c:pt idx="223">
                  <c:v>5.4879542111531149E-2</c:v>
                </c:pt>
                <c:pt idx="224">
                  <c:v>5.4880561392940529E-2</c:v>
                </c:pt>
                <c:pt idx="225">
                  <c:v>5.4877266007398763E-2</c:v>
                </c:pt>
                <c:pt idx="226">
                  <c:v>5.4874009045919457E-2</c:v>
                </c:pt>
                <c:pt idx="227">
                  <c:v>5.4874323913334348E-2</c:v>
                </c:pt>
                <c:pt idx="228">
                  <c:v>5.4874959120834642E-2</c:v>
                </c:pt>
                <c:pt idx="229">
                  <c:v>5.4873614518070969E-2</c:v>
                </c:pt>
                <c:pt idx="230">
                  <c:v>5.4876414448952665E-2</c:v>
                </c:pt>
                <c:pt idx="231">
                  <c:v>5.4873931222463992E-2</c:v>
                </c:pt>
                <c:pt idx="232">
                  <c:v>5.4869106610039985E-2</c:v>
                </c:pt>
                <c:pt idx="233">
                  <c:v>5.4871128880326935E-2</c:v>
                </c:pt>
                <c:pt idx="234">
                  <c:v>5.4872341338869472E-2</c:v>
                </c:pt>
                <c:pt idx="235">
                  <c:v>5.4877631210636338E-2</c:v>
                </c:pt>
                <c:pt idx="236">
                  <c:v>5.4878285097958349E-2</c:v>
                </c:pt>
                <c:pt idx="237">
                  <c:v>5.4879040220004352E-2</c:v>
                </c:pt>
                <c:pt idx="238">
                  <c:v>5.4878766132457492E-2</c:v>
                </c:pt>
                <c:pt idx="239">
                  <c:v>5.4874825009810155E-2</c:v>
                </c:pt>
                <c:pt idx="240">
                  <c:v>5.4876020187302386E-2</c:v>
                </c:pt>
                <c:pt idx="241">
                  <c:v>5.487637020639996E-2</c:v>
                </c:pt>
                <c:pt idx="242">
                  <c:v>5.4875901738756061E-2</c:v>
                </c:pt>
                <c:pt idx="243">
                  <c:v>5.4874231052639728E-2</c:v>
                </c:pt>
                <c:pt idx="244">
                  <c:v>5.4873595978200282E-2</c:v>
                </c:pt>
                <c:pt idx="245">
                  <c:v>5.4875015491463293E-2</c:v>
                </c:pt>
                <c:pt idx="246">
                  <c:v>5.4880850132393258E-2</c:v>
                </c:pt>
                <c:pt idx="247">
                  <c:v>5.487526390778999E-2</c:v>
                </c:pt>
                <c:pt idx="248">
                  <c:v>5.4880786919455443E-2</c:v>
                </c:pt>
                <c:pt idx="249">
                  <c:v>5.4883344840409631E-2</c:v>
                </c:pt>
                <c:pt idx="250">
                  <c:v>5.4883528919588469E-2</c:v>
                </c:pt>
                <c:pt idx="251">
                  <c:v>5.4887810943097651E-2</c:v>
                </c:pt>
                <c:pt idx="252">
                  <c:v>5.4887457052823038E-2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7-7047-819B-9D9AB1F9F283}"/>
            </c:ext>
          </c:extLst>
        </c:ser>
        <c:ser>
          <c:idx val="2"/>
          <c:order val="2"/>
          <c:tx>
            <c:strRef>
              <c:f>'CIR Simulation (MLE)'!$G$1</c:f>
              <c:strCache>
                <c:ptCount val="1"/>
                <c:pt idx="0">
                  <c:v>Sims 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(MLE)'!$G$2:$G$254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5.5186907824764299E-2</c:v>
                </c:pt>
                <c:pt idx="2">
                  <c:v>5.5176272417569991E-2</c:v>
                </c:pt>
                <c:pt idx="3">
                  <c:v>5.5165703122768042E-2</c:v>
                </c:pt>
                <c:pt idx="4">
                  <c:v>5.5151967658343133E-2</c:v>
                </c:pt>
                <c:pt idx="5">
                  <c:v>5.5142083661693389E-2</c:v>
                </c:pt>
                <c:pt idx="6">
                  <c:v>5.5133176972149943E-2</c:v>
                </c:pt>
                <c:pt idx="7">
                  <c:v>5.5120600292155465E-2</c:v>
                </c:pt>
                <c:pt idx="8">
                  <c:v>5.5116916756688429E-2</c:v>
                </c:pt>
                <c:pt idx="9">
                  <c:v>5.5105347503688243E-2</c:v>
                </c:pt>
                <c:pt idx="10">
                  <c:v>5.5097143172771382E-2</c:v>
                </c:pt>
                <c:pt idx="11">
                  <c:v>5.5084618060405141E-2</c:v>
                </c:pt>
                <c:pt idx="12">
                  <c:v>5.5083513792365126E-2</c:v>
                </c:pt>
                <c:pt idx="13">
                  <c:v>5.5075135607749355E-2</c:v>
                </c:pt>
                <c:pt idx="14">
                  <c:v>5.5066962850741932E-2</c:v>
                </c:pt>
                <c:pt idx="15">
                  <c:v>5.506074943743481E-2</c:v>
                </c:pt>
                <c:pt idx="16">
                  <c:v>5.5049156281386236E-2</c:v>
                </c:pt>
                <c:pt idx="17">
                  <c:v>5.5043222530169536E-2</c:v>
                </c:pt>
                <c:pt idx="18">
                  <c:v>5.5034748651736964E-2</c:v>
                </c:pt>
                <c:pt idx="19">
                  <c:v>5.502944060693167E-2</c:v>
                </c:pt>
                <c:pt idx="20">
                  <c:v>5.5023880941484034E-2</c:v>
                </c:pt>
                <c:pt idx="21">
                  <c:v>5.5021805755470124E-2</c:v>
                </c:pt>
                <c:pt idx="22">
                  <c:v>5.5018221066967292E-2</c:v>
                </c:pt>
                <c:pt idx="23">
                  <c:v>5.5010412284609719E-2</c:v>
                </c:pt>
                <c:pt idx="24">
                  <c:v>5.5004106882952673E-2</c:v>
                </c:pt>
                <c:pt idx="25">
                  <c:v>5.5002299295015114E-2</c:v>
                </c:pt>
                <c:pt idx="26">
                  <c:v>5.4988456703443878E-2</c:v>
                </c:pt>
                <c:pt idx="27">
                  <c:v>5.4985855963748102E-2</c:v>
                </c:pt>
                <c:pt idx="28">
                  <c:v>5.4982745085099011E-2</c:v>
                </c:pt>
                <c:pt idx="29">
                  <c:v>5.4980523545458543E-2</c:v>
                </c:pt>
                <c:pt idx="30">
                  <c:v>5.4978509073841345E-2</c:v>
                </c:pt>
                <c:pt idx="31">
                  <c:v>5.4977581140410264E-2</c:v>
                </c:pt>
                <c:pt idx="32">
                  <c:v>5.4979169975336459E-2</c:v>
                </c:pt>
                <c:pt idx="33">
                  <c:v>5.497653754591799E-2</c:v>
                </c:pt>
                <c:pt idx="34">
                  <c:v>5.4980969923490781E-2</c:v>
                </c:pt>
                <c:pt idx="35">
                  <c:v>5.4975432911612068E-2</c:v>
                </c:pt>
                <c:pt idx="36">
                  <c:v>5.4974130515981552E-2</c:v>
                </c:pt>
                <c:pt idx="37">
                  <c:v>5.4971135819993057E-2</c:v>
                </c:pt>
                <c:pt idx="38">
                  <c:v>5.4967066947604351E-2</c:v>
                </c:pt>
                <c:pt idx="39">
                  <c:v>5.4960299317524837E-2</c:v>
                </c:pt>
                <c:pt idx="40">
                  <c:v>5.4960153370760469E-2</c:v>
                </c:pt>
                <c:pt idx="41">
                  <c:v>5.4958308468637758E-2</c:v>
                </c:pt>
                <c:pt idx="42">
                  <c:v>5.4952901711829552E-2</c:v>
                </c:pt>
                <c:pt idx="43">
                  <c:v>5.4946894104687158E-2</c:v>
                </c:pt>
                <c:pt idx="44">
                  <c:v>5.4946452933378298E-2</c:v>
                </c:pt>
                <c:pt idx="45">
                  <c:v>5.4943666298949916E-2</c:v>
                </c:pt>
                <c:pt idx="46">
                  <c:v>5.4940274468397075E-2</c:v>
                </c:pt>
                <c:pt idx="47">
                  <c:v>5.4937266806946917E-2</c:v>
                </c:pt>
                <c:pt idx="48">
                  <c:v>5.49292191396763E-2</c:v>
                </c:pt>
                <c:pt idx="49">
                  <c:v>5.4924521486381925E-2</c:v>
                </c:pt>
                <c:pt idx="50">
                  <c:v>5.4919498572120765E-2</c:v>
                </c:pt>
                <c:pt idx="51">
                  <c:v>5.4917005429366367E-2</c:v>
                </c:pt>
                <c:pt idx="52">
                  <c:v>5.4915097311949046E-2</c:v>
                </c:pt>
                <c:pt idx="53">
                  <c:v>5.4914139301800884E-2</c:v>
                </c:pt>
                <c:pt idx="54">
                  <c:v>5.4914303180951071E-2</c:v>
                </c:pt>
                <c:pt idx="55">
                  <c:v>5.4909148248150123E-2</c:v>
                </c:pt>
                <c:pt idx="56">
                  <c:v>5.4909651885102273E-2</c:v>
                </c:pt>
                <c:pt idx="57">
                  <c:v>5.4911204691155152E-2</c:v>
                </c:pt>
                <c:pt idx="58">
                  <c:v>5.49111433629852E-2</c:v>
                </c:pt>
                <c:pt idx="59">
                  <c:v>5.4904067421492994E-2</c:v>
                </c:pt>
                <c:pt idx="60">
                  <c:v>5.4904971985192987E-2</c:v>
                </c:pt>
                <c:pt idx="61">
                  <c:v>5.4901106308797264E-2</c:v>
                </c:pt>
                <c:pt idx="62">
                  <c:v>5.4895747684685185E-2</c:v>
                </c:pt>
                <c:pt idx="63">
                  <c:v>5.4894645329139152E-2</c:v>
                </c:pt>
                <c:pt idx="64">
                  <c:v>5.4892235196428482E-2</c:v>
                </c:pt>
                <c:pt idx="65">
                  <c:v>5.4892434601052059E-2</c:v>
                </c:pt>
                <c:pt idx="66">
                  <c:v>5.4891910122931736E-2</c:v>
                </c:pt>
                <c:pt idx="67">
                  <c:v>5.4895190530942675E-2</c:v>
                </c:pt>
                <c:pt idx="68">
                  <c:v>5.4898559871926308E-2</c:v>
                </c:pt>
                <c:pt idx="69">
                  <c:v>5.489949151936277E-2</c:v>
                </c:pt>
                <c:pt idx="70">
                  <c:v>5.4898779675327247E-2</c:v>
                </c:pt>
                <c:pt idx="71">
                  <c:v>5.4900782162904685E-2</c:v>
                </c:pt>
                <c:pt idx="72">
                  <c:v>5.4899291970756325E-2</c:v>
                </c:pt>
                <c:pt idx="73">
                  <c:v>5.4898391808358295E-2</c:v>
                </c:pt>
                <c:pt idx="74">
                  <c:v>5.490042746652965E-2</c:v>
                </c:pt>
                <c:pt idx="75">
                  <c:v>5.4902344328248809E-2</c:v>
                </c:pt>
                <c:pt idx="76">
                  <c:v>5.4905063598522701E-2</c:v>
                </c:pt>
                <c:pt idx="77">
                  <c:v>5.4906936145761982E-2</c:v>
                </c:pt>
                <c:pt idx="78">
                  <c:v>5.4904199734271415E-2</c:v>
                </c:pt>
                <c:pt idx="79">
                  <c:v>5.4905192865121175E-2</c:v>
                </c:pt>
                <c:pt idx="80">
                  <c:v>5.491088693003579E-2</c:v>
                </c:pt>
                <c:pt idx="81">
                  <c:v>5.4911286458001383E-2</c:v>
                </c:pt>
                <c:pt idx="82">
                  <c:v>5.4913523703061635E-2</c:v>
                </c:pt>
                <c:pt idx="83">
                  <c:v>5.4915427849134592E-2</c:v>
                </c:pt>
                <c:pt idx="84">
                  <c:v>5.4912583288436477E-2</c:v>
                </c:pt>
                <c:pt idx="85">
                  <c:v>5.4913671206043742E-2</c:v>
                </c:pt>
                <c:pt idx="86">
                  <c:v>5.4912531670740949E-2</c:v>
                </c:pt>
                <c:pt idx="87">
                  <c:v>5.4911611824191686E-2</c:v>
                </c:pt>
                <c:pt idx="88">
                  <c:v>5.4913696977693306E-2</c:v>
                </c:pt>
                <c:pt idx="89">
                  <c:v>5.4915489092168632E-2</c:v>
                </c:pt>
                <c:pt idx="90">
                  <c:v>5.4915003716311139E-2</c:v>
                </c:pt>
                <c:pt idx="91">
                  <c:v>5.4917042220965377E-2</c:v>
                </c:pt>
                <c:pt idx="92">
                  <c:v>5.4914830462567718E-2</c:v>
                </c:pt>
                <c:pt idx="93">
                  <c:v>5.4913018138777546E-2</c:v>
                </c:pt>
                <c:pt idx="94">
                  <c:v>5.4915913472582213E-2</c:v>
                </c:pt>
                <c:pt idx="95">
                  <c:v>5.4909216367157496E-2</c:v>
                </c:pt>
                <c:pt idx="96">
                  <c:v>5.4908398371314143E-2</c:v>
                </c:pt>
                <c:pt idx="97">
                  <c:v>5.4910336479656194E-2</c:v>
                </c:pt>
                <c:pt idx="98">
                  <c:v>5.4905873480916259E-2</c:v>
                </c:pt>
                <c:pt idx="99">
                  <c:v>5.4905933797527673E-2</c:v>
                </c:pt>
                <c:pt idx="100">
                  <c:v>5.4906455040145734E-2</c:v>
                </c:pt>
                <c:pt idx="101">
                  <c:v>5.4901144523121878E-2</c:v>
                </c:pt>
                <c:pt idx="102">
                  <c:v>5.4898365574012113E-2</c:v>
                </c:pt>
                <c:pt idx="103">
                  <c:v>5.4901861227637065E-2</c:v>
                </c:pt>
                <c:pt idx="104">
                  <c:v>5.4907183944668557E-2</c:v>
                </c:pt>
                <c:pt idx="105">
                  <c:v>5.4911410284380964E-2</c:v>
                </c:pt>
                <c:pt idx="106">
                  <c:v>5.4912370034760294E-2</c:v>
                </c:pt>
                <c:pt idx="107">
                  <c:v>5.4914628478138147E-2</c:v>
                </c:pt>
                <c:pt idx="108">
                  <c:v>5.4912274088555639E-2</c:v>
                </c:pt>
                <c:pt idx="109">
                  <c:v>5.4914027160202029E-2</c:v>
                </c:pt>
                <c:pt idx="110">
                  <c:v>5.4913972568262616E-2</c:v>
                </c:pt>
                <c:pt idx="111">
                  <c:v>5.4910977797399181E-2</c:v>
                </c:pt>
                <c:pt idx="112">
                  <c:v>5.4915061580390334E-2</c:v>
                </c:pt>
                <c:pt idx="113">
                  <c:v>5.4910686474653927E-2</c:v>
                </c:pt>
                <c:pt idx="114">
                  <c:v>5.4913351828700059E-2</c:v>
                </c:pt>
                <c:pt idx="115">
                  <c:v>5.4912627811471729E-2</c:v>
                </c:pt>
                <c:pt idx="116">
                  <c:v>5.49103421839061E-2</c:v>
                </c:pt>
                <c:pt idx="117">
                  <c:v>5.4909048727952048E-2</c:v>
                </c:pt>
                <c:pt idx="118">
                  <c:v>5.490768001115879E-2</c:v>
                </c:pt>
                <c:pt idx="119">
                  <c:v>5.4906556028575575E-2</c:v>
                </c:pt>
                <c:pt idx="120">
                  <c:v>5.4905640832365106E-2</c:v>
                </c:pt>
                <c:pt idx="121">
                  <c:v>5.4907264396954002E-2</c:v>
                </c:pt>
                <c:pt idx="122">
                  <c:v>5.490746538441172E-2</c:v>
                </c:pt>
                <c:pt idx="123">
                  <c:v>5.4909668019019031E-2</c:v>
                </c:pt>
                <c:pt idx="124">
                  <c:v>5.4910584589812038E-2</c:v>
                </c:pt>
                <c:pt idx="125">
                  <c:v>5.4905152696703617E-2</c:v>
                </c:pt>
                <c:pt idx="126">
                  <c:v>5.4902234380868505E-2</c:v>
                </c:pt>
                <c:pt idx="127">
                  <c:v>5.4905045952214904E-2</c:v>
                </c:pt>
                <c:pt idx="128">
                  <c:v>5.4911836522098245E-2</c:v>
                </c:pt>
                <c:pt idx="129">
                  <c:v>5.4909733486938464E-2</c:v>
                </c:pt>
                <c:pt idx="130">
                  <c:v>5.4909029979168564E-2</c:v>
                </c:pt>
                <c:pt idx="131">
                  <c:v>5.4907460341088885E-2</c:v>
                </c:pt>
                <c:pt idx="132">
                  <c:v>5.4900400523358539E-2</c:v>
                </c:pt>
                <c:pt idx="133">
                  <c:v>5.4899238932924976E-2</c:v>
                </c:pt>
                <c:pt idx="134">
                  <c:v>5.4896489402818938E-2</c:v>
                </c:pt>
                <c:pt idx="135">
                  <c:v>5.4900954410462131E-2</c:v>
                </c:pt>
                <c:pt idx="136">
                  <c:v>5.4905188598693568E-2</c:v>
                </c:pt>
                <c:pt idx="137">
                  <c:v>5.4905142201949496E-2</c:v>
                </c:pt>
                <c:pt idx="138">
                  <c:v>5.4907506090378672E-2</c:v>
                </c:pt>
                <c:pt idx="139">
                  <c:v>5.4906363402494496E-2</c:v>
                </c:pt>
                <c:pt idx="140">
                  <c:v>5.4898896183644311E-2</c:v>
                </c:pt>
                <c:pt idx="141">
                  <c:v>5.4900009377140714E-2</c:v>
                </c:pt>
                <c:pt idx="142">
                  <c:v>5.4900021206471625E-2</c:v>
                </c:pt>
                <c:pt idx="143">
                  <c:v>5.4900577972821121E-2</c:v>
                </c:pt>
                <c:pt idx="144">
                  <c:v>5.4903056069087706E-2</c:v>
                </c:pt>
                <c:pt idx="145">
                  <c:v>5.4899081565185567E-2</c:v>
                </c:pt>
                <c:pt idx="146">
                  <c:v>5.4892982640952402E-2</c:v>
                </c:pt>
                <c:pt idx="147">
                  <c:v>5.4888520126303499E-2</c:v>
                </c:pt>
                <c:pt idx="148">
                  <c:v>5.4892684877600968E-2</c:v>
                </c:pt>
                <c:pt idx="149">
                  <c:v>5.4893637415099818E-2</c:v>
                </c:pt>
                <c:pt idx="150">
                  <c:v>5.4897058794712295E-2</c:v>
                </c:pt>
                <c:pt idx="151">
                  <c:v>5.489626699432238E-2</c:v>
                </c:pt>
                <c:pt idx="152">
                  <c:v>5.489571148752867E-2</c:v>
                </c:pt>
                <c:pt idx="153">
                  <c:v>5.4892899458952003E-2</c:v>
                </c:pt>
                <c:pt idx="154">
                  <c:v>5.4889105511982027E-2</c:v>
                </c:pt>
                <c:pt idx="155">
                  <c:v>5.4890575656290221E-2</c:v>
                </c:pt>
                <c:pt idx="156">
                  <c:v>5.4886929686325116E-2</c:v>
                </c:pt>
                <c:pt idx="157">
                  <c:v>5.488629633316304E-2</c:v>
                </c:pt>
                <c:pt idx="158">
                  <c:v>5.4884555334220021E-2</c:v>
                </c:pt>
                <c:pt idx="159">
                  <c:v>5.4887461639269629E-2</c:v>
                </c:pt>
                <c:pt idx="160">
                  <c:v>5.4888522804292898E-2</c:v>
                </c:pt>
                <c:pt idx="161">
                  <c:v>5.4889463938244974E-2</c:v>
                </c:pt>
                <c:pt idx="162">
                  <c:v>5.4886972387706318E-2</c:v>
                </c:pt>
                <c:pt idx="163">
                  <c:v>5.4889685445759048E-2</c:v>
                </c:pt>
                <c:pt idx="164">
                  <c:v>5.4893802045888479E-2</c:v>
                </c:pt>
                <c:pt idx="165">
                  <c:v>5.4895490382134586E-2</c:v>
                </c:pt>
                <c:pt idx="166">
                  <c:v>5.4891886137638603E-2</c:v>
                </c:pt>
                <c:pt idx="167">
                  <c:v>5.4890085097568826E-2</c:v>
                </c:pt>
                <c:pt idx="168">
                  <c:v>5.4890576625495992E-2</c:v>
                </c:pt>
                <c:pt idx="169">
                  <c:v>5.4891816535264433E-2</c:v>
                </c:pt>
                <c:pt idx="170">
                  <c:v>5.4887229135042563E-2</c:v>
                </c:pt>
                <c:pt idx="171">
                  <c:v>5.4887621154842345E-2</c:v>
                </c:pt>
                <c:pt idx="172">
                  <c:v>5.4889957316100635E-2</c:v>
                </c:pt>
                <c:pt idx="173">
                  <c:v>5.4883740864584432E-2</c:v>
                </c:pt>
                <c:pt idx="174">
                  <c:v>5.4884636688432478E-2</c:v>
                </c:pt>
                <c:pt idx="175">
                  <c:v>5.488448100382759E-2</c:v>
                </c:pt>
                <c:pt idx="176">
                  <c:v>5.4885972979224783E-2</c:v>
                </c:pt>
                <c:pt idx="177">
                  <c:v>5.4886325360390335E-2</c:v>
                </c:pt>
                <c:pt idx="178">
                  <c:v>5.4887841906549641E-2</c:v>
                </c:pt>
                <c:pt idx="179">
                  <c:v>5.48845381551245E-2</c:v>
                </c:pt>
                <c:pt idx="180">
                  <c:v>5.4880241021458338E-2</c:v>
                </c:pt>
                <c:pt idx="181">
                  <c:v>5.4882026283329693E-2</c:v>
                </c:pt>
                <c:pt idx="182">
                  <c:v>5.4879146744188097E-2</c:v>
                </c:pt>
                <c:pt idx="183">
                  <c:v>5.4880148097636514E-2</c:v>
                </c:pt>
                <c:pt idx="184">
                  <c:v>5.4877515747529484E-2</c:v>
                </c:pt>
                <c:pt idx="185">
                  <c:v>5.4877293355256151E-2</c:v>
                </c:pt>
                <c:pt idx="186">
                  <c:v>5.4877232654552514E-2</c:v>
                </c:pt>
                <c:pt idx="187">
                  <c:v>5.487564074014184E-2</c:v>
                </c:pt>
                <c:pt idx="188">
                  <c:v>5.4878367567864336E-2</c:v>
                </c:pt>
                <c:pt idx="189">
                  <c:v>5.4878032618219316E-2</c:v>
                </c:pt>
                <c:pt idx="190">
                  <c:v>5.4878640603387513E-2</c:v>
                </c:pt>
                <c:pt idx="191">
                  <c:v>5.4886020874787896E-2</c:v>
                </c:pt>
                <c:pt idx="192">
                  <c:v>5.4884821727520711E-2</c:v>
                </c:pt>
                <c:pt idx="193">
                  <c:v>5.4880532893150397E-2</c:v>
                </c:pt>
                <c:pt idx="194">
                  <c:v>5.4888939207080226E-2</c:v>
                </c:pt>
                <c:pt idx="195">
                  <c:v>5.4887580075890986E-2</c:v>
                </c:pt>
                <c:pt idx="196">
                  <c:v>5.488718185608172E-2</c:v>
                </c:pt>
                <c:pt idx="197">
                  <c:v>5.488932014474731E-2</c:v>
                </c:pt>
                <c:pt idx="198">
                  <c:v>5.4892943294354367E-2</c:v>
                </c:pt>
                <c:pt idx="199">
                  <c:v>5.4887470785907048E-2</c:v>
                </c:pt>
                <c:pt idx="200">
                  <c:v>5.488629382070332E-2</c:v>
                </c:pt>
                <c:pt idx="201">
                  <c:v>5.4887768797048E-2</c:v>
                </c:pt>
                <c:pt idx="202">
                  <c:v>5.4885726273707969E-2</c:v>
                </c:pt>
                <c:pt idx="203">
                  <c:v>5.4882233226029468E-2</c:v>
                </c:pt>
                <c:pt idx="204">
                  <c:v>5.4885551940298614E-2</c:v>
                </c:pt>
                <c:pt idx="205">
                  <c:v>5.4881095170834997E-2</c:v>
                </c:pt>
                <c:pt idx="206">
                  <c:v>5.488071494999238E-2</c:v>
                </c:pt>
                <c:pt idx="207">
                  <c:v>5.4880427116167266E-2</c:v>
                </c:pt>
                <c:pt idx="208">
                  <c:v>5.4879856755459623E-2</c:v>
                </c:pt>
                <c:pt idx="209">
                  <c:v>5.4880283612311967E-2</c:v>
                </c:pt>
                <c:pt idx="210">
                  <c:v>5.4882196631153859E-2</c:v>
                </c:pt>
                <c:pt idx="211">
                  <c:v>5.4881791219629321E-2</c:v>
                </c:pt>
                <c:pt idx="212">
                  <c:v>5.4885352906598538E-2</c:v>
                </c:pt>
                <c:pt idx="213">
                  <c:v>5.4886978996572973E-2</c:v>
                </c:pt>
                <c:pt idx="214">
                  <c:v>5.4884762165470162E-2</c:v>
                </c:pt>
                <c:pt idx="215">
                  <c:v>5.4886467430587248E-2</c:v>
                </c:pt>
                <c:pt idx="216">
                  <c:v>5.4887939653160467E-2</c:v>
                </c:pt>
                <c:pt idx="217">
                  <c:v>5.4888105917271182E-2</c:v>
                </c:pt>
                <c:pt idx="218">
                  <c:v>5.488680376405309E-2</c:v>
                </c:pt>
                <c:pt idx="219">
                  <c:v>5.4891753768109931E-2</c:v>
                </c:pt>
                <c:pt idx="220">
                  <c:v>5.4888183462071867E-2</c:v>
                </c:pt>
                <c:pt idx="221">
                  <c:v>5.4890618182230122E-2</c:v>
                </c:pt>
                <c:pt idx="222">
                  <c:v>5.4890745786018359E-2</c:v>
                </c:pt>
                <c:pt idx="223">
                  <c:v>5.4888687856499287E-2</c:v>
                </c:pt>
                <c:pt idx="224">
                  <c:v>5.4892294598745513E-2</c:v>
                </c:pt>
                <c:pt idx="225">
                  <c:v>5.4891646238167592E-2</c:v>
                </c:pt>
                <c:pt idx="226">
                  <c:v>5.4893444910252095E-2</c:v>
                </c:pt>
                <c:pt idx="227">
                  <c:v>5.489109399420445E-2</c:v>
                </c:pt>
                <c:pt idx="228">
                  <c:v>5.4892551189012775E-2</c:v>
                </c:pt>
                <c:pt idx="229">
                  <c:v>5.4892365082954385E-2</c:v>
                </c:pt>
                <c:pt idx="230">
                  <c:v>5.4893169755466951E-2</c:v>
                </c:pt>
                <c:pt idx="231">
                  <c:v>5.4894416612161739E-2</c:v>
                </c:pt>
                <c:pt idx="232">
                  <c:v>5.4890535289006781E-2</c:v>
                </c:pt>
                <c:pt idx="233">
                  <c:v>5.4893131353361858E-2</c:v>
                </c:pt>
                <c:pt idx="234">
                  <c:v>5.4894844986785346E-2</c:v>
                </c:pt>
                <c:pt idx="235">
                  <c:v>5.4892074895842101E-2</c:v>
                </c:pt>
                <c:pt idx="236">
                  <c:v>5.4898872217795255E-2</c:v>
                </c:pt>
                <c:pt idx="237">
                  <c:v>5.4902137512501434E-2</c:v>
                </c:pt>
                <c:pt idx="238">
                  <c:v>5.4907601540350036E-2</c:v>
                </c:pt>
                <c:pt idx="239">
                  <c:v>5.4904351865997736E-2</c:v>
                </c:pt>
                <c:pt idx="240">
                  <c:v>5.4902333016220432E-2</c:v>
                </c:pt>
                <c:pt idx="241">
                  <c:v>5.4898769972215523E-2</c:v>
                </c:pt>
                <c:pt idx="242">
                  <c:v>5.4896304535087266E-2</c:v>
                </c:pt>
                <c:pt idx="243">
                  <c:v>5.4894572278615245E-2</c:v>
                </c:pt>
                <c:pt idx="244">
                  <c:v>5.4893517014198367E-2</c:v>
                </c:pt>
                <c:pt idx="245">
                  <c:v>5.4895304359845867E-2</c:v>
                </c:pt>
                <c:pt idx="246">
                  <c:v>5.4896739522995577E-2</c:v>
                </c:pt>
                <c:pt idx="247">
                  <c:v>5.4894992602457067E-2</c:v>
                </c:pt>
                <c:pt idx="248">
                  <c:v>5.4894927238404494E-2</c:v>
                </c:pt>
                <c:pt idx="249">
                  <c:v>5.4897777405595934E-2</c:v>
                </c:pt>
                <c:pt idx="250">
                  <c:v>5.4898663152296641E-2</c:v>
                </c:pt>
                <c:pt idx="251">
                  <c:v>5.4898756559558851E-2</c:v>
                </c:pt>
                <c:pt idx="252">
                  <c:v>5.4899113215453155E-2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7-7047-819B-9D9AB1F9F283}"/>
            </c:ext>
          </c:extLst>
        </c:ser>
        <c:ser>
          <c:idx val="3"/>
          <c:order val="3"/>
          <c:tx>
            <c:strRef>
              <c:f>'CIR Simulation (MLE)'!$H$1</c:f>
              <c:strCache>
                <c:ptCount val="1"/>
                <c:pt idx="0">
                  <c:v>Sims 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(MLE)'!$H$2:$H$254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5.5181389150502358E-2</c:v>
                </c:pt>
                <c:pt idx="2">
                  <c:v>5.5168202386032601E-2</c:v>
                </c:pt>
                <c:pt idx="3">
                  <c:v>5.5160810326974861E-2</c:v>
                </c:pt>
                <c:pt idx="4">
                  <c:v>5.5146738262847626E-2</c:v>
                </c:pt>
                <c:pt idx="5">
                  <c:v>5.5132907784204536E-2</c:v>
                </c:pt>
                <c:pt idx="6">
                  <c:v>5.5123388681916304E-2</c:v>
                </c:pt>
                <c:pt idx="7">
                  <c:v>5.5111617040206055E-2</c:v>
                </c:pt>
                <c:pt idx="8">
                  <c:v>5.5098150699351485E-2</c:v>
                </c:pt>
                <c:pt idx="9">
                  <c:v>5.5092328064571032E-2</c:v>
                </c:pt>
                <c:pt idx="10">
                  <c:v>5.5081986475402571E-2</c:v>
                </c:pt>
                <c:pt idx="11">
                  <c:v>5.5069773493004334E-2</c:v>
                </c:pt>
                <c:pt idx="12">
                  <c:v>5.5061782352685544E-2</c:v>
                </c:pt>
                <c:pt idx="13">
                  <c:v>5.5054346545038754E-2</c:v>
                </c:pt>
                <c:pt idx="14">
                  <c:v>5.5048876052824242E-2</c:v>
                </c:pt>
                <c:pt idx="15">
                  <c:v>5.5046204335829206E-2</c:v>
                </c:pt>
                <c:pt idx="16">
                  <c:v>5.5038780520253738E-2</c:v>
                </c:pt>
                <c:pt idx="17">
                  <c:v>5.5034682724678693E-2</c:v>
                </c:pt>
                <c:pt idx="18">
                  <c:v>5.5025033216599212E-2</c:v>
                </c:pt>
                <c:pt idx="19">
                  <c:v>5.5019776019127366E-2</c:v>
                </c:pt>
                <c:pt idx="20">
                  <c:v>5.5011481166056052E-2</c:v>
                </c:pt>
                <c:pt idx="21">
                  <c:v>5.5006517383043199E-2</c:v>
                </c:pt>
                <c:pt idx="22">
                  <c:v>5.5000748568911365E-2</c:v>
                </c:pt>
                <c:pt idx="23">
                  <c:v>5.4994151336519255E-2</c:v>
                </c:pt>
                <c:pt idx="24">
                  <c:v>5.4989110327758564E-2</c:v>
                </c:pt>
                <c:pt idx="25">
                  <c:v>5.4985251983401796E-2</c:v>
                </c:pt>
                <c:pt idx="26">
                  <c:v>5.4982767118334414E-2</c:v>
                </c:pt>
                <c:pt idx="27">
                  <c:v>5.4978604315011226E-2</c:v>
                </c:pt>
                <c:pt idx="28">
                  <c:v>5.4977026003067669E-2</c:v>
                </c:pt>
                <c:pt idx="29">
                  <c:v>5.4976046774800898E-2</c:v>
                </c:pt>
                <c:pt idx="30">
                  <c:v>5.4971887887412529E-2</c:v>
                </c:pt>
                <c:pt idx="31">
                  <c:v>5.4968142979613527E-2</c:v>
                </c:pt>
                <c:pt idx="32">
                  <c:v>5.4965618677158788E-2</c:v>
                </c:pt>
                <c:pt idx="33">
                  <c:v>5.49587073015292E-2</c:v>
                </c:pt>
                <c:pt idx="34">
                  <c:v>5.4957961679310677E-2</c:v>
                </c:pt>
                <c:pt idx="35">
                  <c:v>5.4954705998221942E-2</c:v>
                </c:pt>
                <c:pt idx="36">
                  <c:v>5.4956627331512117E-2</c:v>
                </c:pt>
                <c:pt idx="37">
                  <c:v>5.4955811905068236E-2</c:v>
                </c:pt>
                <c:pt idx="38">
                  <c:v>5.4956153494564425E-2</c:v>
                </c:pt>
                <c:pt idx="39">
                  <c:v>5.4951726046651446E-2</c:v>
                </c:pt>
                <c:pt idx="40">
                  <c:v>5.4951280837902586E-2</c:v>
                </c:pt>
                <c:pt idx="41">
                  <c:v>5.4952852366640492E-2</c:v>
                </c:pt>
                <c:pt idx="42">
                  <c:v>5.4947553638236335E-2</c:v>
                </c:pt>
                <c:pt idx="43">
                  <c:v>5.4950008552493081E-2</c:v>
                </c:pt>
                <c:pt idx="44">
                  <c:v>5.4947025820263944E-2</c:v>
                </c:pt>
                <c:pt idx="45">
                  <c:v>5.4944921784695677E-2</c:v>
                </c:pt>
                <c:pt idx="46">
                  <c:v>5.4943346715307297E-2</c:v>
                </c:pt>
                <c:pt idx="47">
                  <c:v>5.4938716989814049E-2</c:v>
                </c:pt>
                <c:pt idx="48">
                  <c:v>5.4940478762487345E-2</c:v>
                </c:pt>
                <c:pt idx="49">
                  <c:v>5.4938304512714621E-2</c:v>
                </c:pt>
                <c:pt idx="50">
                  <c:v>5.4933682584783212E-2</c:v>
                </c:pt>
                <c:pt idx="51">
                  <c:v>5.4933545728814738E-2</c:v>
                </c:pt>
                <c:pt idx="52">
                  <c:v>5.4935336338016137E-2</c:v>
                </c:pt>
                <c:pt idx="53">
                  <c:v>5.4930068415804605E-2</c:v>
                </c:pt>
                <c:pt idx="54">
                  <c:v>5.4926090304595679E-2</c:v>
                </c:pt>
                <c:pt idx="55">
                  <c:v>5.4931505334852054E-2</c:v>
                </c:pt>
                <c:pt idx="56">
                  <c:v>5.4928853942544674E-2</c:v>
                </c:pt>
                <c:pt idx="57">
                  <c:v>5.493143517742631E-2</c:v>
                </c:pt>
                <c:pt idx="58">
                  <c:v>5.4928754034931547E-2</c:v>
                </c:pt>
                <c:pt idx="59">
                  <c:v>5.492549656525763E-2</c:v>
                </c:pt>
                <c:pt idx="60">
                  <c:v>5.4928620289538439E-2</c:v>
                </c:pt>
                <c:pt idx="61">
                  <c:v>5.4923939101292778E-2</c:v>
                </c:pt>
                <c:pt idx="62">
                  <c:v>5.4923093317968401E-2</c:v>
                </c:pt>
                <c:pt idx="63">
                  <c:v>5.4923717977846467E-2</c:v>
                </c:pt>
                <c:pt idx="64">
                  <c:v>5.4927469286119801E-2</c:v>
                </c:pt>
                <c:pt idx="65">
                  <c:v>5.4928692048138147E-2</c:v>
                </c:pt>
                <c:pt idx="66">
                  <c:v>5.492777617038834E-2</c:v>
                </c:pt>
                <c:pt idx="67">
                  <c:v>5.4921782380168593E-2</c:v>
                </c:pt>
                <c:pt idx="68">
                  <c:v>5.4919267775303711E-2</c:v>
                </c:pt>
                <c:pt idx="69">
                  <c:v>5.4914721500247482E-2</c:v>
                </c:pt>
                <c:pt idx="70">
                  <c:v>5.4910068550995589E-2</c:v>
                </c:pt>
                <c:pt idx="71">
                  <c:v>5.4907747937833519E-2</c:v>
                </c:pt>
                <c:pt idx="72">
                  <c:v>5.4903987156255329E-2</c:v>
                </c:pt>
                <c:pt idx="73">
                  <c:v>5.4903170035323634E-2</c:v>
                </c:pt>
                <c:pt idx="74">
                  <c:v>5.4906008992466886E-2</c:v>
                </c:pt>
                <c:pt idx="75">
                  <c:v>5.4908987466947244E-2</c:v>
                </c:pt>
                <c:pt idx="76">
                  <c:v>5.4905928121849135E-2</c:v>
                </c:pt>
                <c:pt idx="77">
                  <c:v>5.4910849969508957E-2</c:v>
                </c:pt>
                <c:pt idx="78">
                  <c:v>5.491187031354379E-2</c:v>
                </c:pt>
                <c:pt idx="79">
                  <c:v>5.4909967540106429E-2</c:v>
                </c:pt>
                <c:pt idx="80">
                  <c:v>5.4909687127210879E-2</c:v>
                </c:pt>
                <c:pt idx="81">
                  <c:v>5.4905251738186937E-2</c:v>
                </c:pt>
                <c:pt idx="82">
                  <c:v>5.4904710403187749E-2</c:v>
                </c:pt>
                <c:pt idx="83">
                  <c:v>5.490509836465652E-2</c:v>
                </c:pt>
                <c:pt idx="84">
                  <c:v>5.4904979583259392E-2</c:v>
                </c:pt>
                <c:pt idx="85">
                  <c:v>5.4904694412645644E-2</c:v>
                </c:pt>
                <c:pt idx="86">
                  <c:v>5.4906528715878318E-2</c:v>
                </c:pt>
                <c:pt idx="87">
                  <c:v>5.4903754230184086E-2</c:v>
                </c:pt>
                <c:pt idx="88">
                  <c:v>5.4899991084406005E-2</c:v>
                </c:pt>
                <c:pt idx="89">
                  <c:v>5.4899006464906738E-2</c:v>
                </c:pt>
                <c:pt idx="90">
                  <c:v>5.4898229135337789E-2</c:v>
                </c:pt>
                <c:pt idx="91">
                  <c:v>5.4895918264580477E-2</c:v>
                </c:pt>
                <c:pt idx="92">
                  <c:v>5.489252242314209E-2</c:v>
                </c:pt>
                <c:pt idx="93">
                  <c:v>5.488950204226252E-2</c:v>
                </c:pt>
                <c:pt idx="94">
                  <c:v>5.4890612528542305E-2</c:v>
                </c:pt>
                <c:pt idx="95">
                  <c:v>5.488933980702785E-2</c:v>
                </c:pt>
                <c:pt idx="96">
                  <c:v>5.4890642538428548E-2</c:v>
                </c:pt>
                <c:pt idx="97">
                  <c:v>5.4891820271613601E-2</c:v>
                </c:pt>
                <c:pt idx="98">
                  <c:v>5.4890815280145638E-2</c:v>
                </c:pt>
                <c:pt idx="99">
                  <c:v>5.489680598334875E-2</c:v>
                </c:pt>
                <c:pt idx="100">
                  <c:v>5.4891473348842333E-2</c:v>
                </c:pt>
                <c:pt idx="101">
                  <c:v>5.4893867498514444E-2</c:v>
                </c:pt>
                <c:pt idx="102">
                  <c:v>5.4889784561396357E-2</c:v>
                </c:pt>
                <c:pt idx="103">
                  <c:v>5.4891863259283781E-2</c:v>
                </c:pt>
                <c:pt idx="104">
                  <c:v>5.4893690728644147E-2</c:v>
                </c:pt>
                <c:pt idx="105">
                  <c:v>5.4893084032533804E-2</c:v>
                </c:pt>
                <c:pt idx="106">
                  <c:v>5.4890502876300734E-2</c:v>
                </c:pt>
                <c:pt idx="107">
                  <c:v>5.4890928810141737E-2</c:v>
                </c:pt>
                <c:pt idx="108">
                  <c:v>5.4894812683331504E-2</c:v>
                </c:pt>
                <c:pt idx="109">
                  <c:v>5.4898407736120029E-2</c:v>
                </c:pt>
                <c:pt idx="110">
                  <c:v>5.4903568525434106E-2</c:v>
                </c:pt>
                <c:pt idx="111">
                  <c:v>5.4901060842327057E-2</c:v>
                </c:pt>
                <c:pt idx="112">
                  <c:v>5.4897658963555696E-2</c:v>
                </c:pt>
                <c:pt idx="113">
                  <c:v>5.4899341494877123E-2</c:v>
                </c:pt>
                <c:pt idx="114">
                  <c:v>5.4901972906763935E-2</c:v>
                </c:pt>
                <c:pt idx="115">
                  <c:v>5.4901398252814523E-2</c:v>
                </c:pt>
                <c:pt idx="116">
                  <c:v>5.4901723020066719E-2</c:v>
                </c:pt>
                <c:pt idx="117">
                  <c:v>5.490149894799061E-2</c:v>
                </c:pt>
                <c:pt idx="118">
                  <c:v>5.4896793485169119E-2</c:v>
                </c:pt>
                <c:pt idx="119">
                  <c:v>5.4895928863922687E-2</c:v>
                </c:pt>
                <c:pt idx="120">
                  <c:v>5.4893202540321956E-2</c:v>
                </c:pt>
                <c:pt idx="121">
                  <c:v>5.489098695261159E-2</c:v>
                </c:pt>
                <c:pt idx="122">
                  <c:v>5.4890379792502754E-2</c:v>
                </c:pt>
                <c:pt idx="123">
                  <c:v>5.4888486170809242E-2</c:v>
                </c:pt>
                <c:pt idx="124">
                  <c:v>5.4885463100752312E-2</c:v>
                </c:pt>
                <c:pt idx="125">
                  <c:v>5.488878462447605E-2</c:v>
                </c:pt>
                <c:pt idx="126">
                  <c:v>5.4884635878293841E-2</c:v>
                </c:pt>
                <c:pt idx="127">
                  <c:v>5.4883395433483778E-2</c:v>
                </c:pt>
                <c:pt idx="128">
                  <c:v>5.4881617971702615E-2</c:v>
                </c:pt>
                <c:pt idx="129">
                  <c:v>5.4880373948402131E-2</c:v>
                </c:pt>
                <c:pt idx="130">
                  <c:v>5.4881632732628256E-2</c:v>
                </c:pt>
                <c:pt idx="131">
                  <c:v>5.4880008787748839E-2</c:v>
                </c:pt>
                <c:pt idx="132">
                  <c:v>5.4878839310659559E-2</c:v>
                </c:pt>
                <c:pt idx="133">
                  <c:v>5.4879139822979969E-2</c:v>
                </c:pt>
                <c:pt idx="134">
                  <c:v>5.4883298283381503E-2</c:v>
                </c:pt>
                <c:pt idx="135">
                  <c:v>5.4882235978849732E-2</c:v>
                </c:pt>
                <c:pt idx="136">
                  <c:v>5.4882129287158479E-2</c:v>
                </c:pt>
                <c:pt idx="137">
                  <c:v>5.4883341445559675E-2</c:v>
                </c:pt>
                <c:pt idx="138">
                  <c:v>5.4879424112828777E-2</c:v>
                </c:pt>
                <c:pt idx="139">
                  <c:v>5.4881877932566575E-2</c:v>
                </c:pt>
                <c:pt idx="140">
                  <c:v>5.488269797993027E-2</c:v>
                </c:pt>
                <c:pt idx="141">
                  <c:v>5.4881700107462052E-2</c:v>
                </c:pt>
                <c:pt idx="142">
                  <c:v>5.4884069389569641E-2</c:v>
                </c:pt>
                <c:pt idx="143">
                  <c:v>5.4880842436232813E-2</c:v>
                </c:pt>
                <c:pt idx="144">
                  <c:v>5.4881801258051921E-2</c:v>
                </c:pt>
                <c:pt idx="145">
                  <c:v>5.4878581710919368E-2</c:v>
                </c:pt>
                <c:pt idx="146">
                  <c:v>5.4875425074877353E-2</c:v>
                </c:pt>
                <c:pt idx="147">
                  <c:v>5.4873803366850792E-2</c:v>
                </c:pt>
                <c:pt idx="148">
                  <c:v>5.4874011661002919E-2</c:v>
                </c:pt>
                <c:pt idx="149">
                  <c:v>5.4879351784764691E-2</c:v>
                </c:pt>
                <c:pt idx="150">
                  <c:v>5.4877479351795724E-2</c:v>
                </c:pt>
                <c:pt idx="151">
                  <c:v>5.4877113194290304E-2</c:v>
                </c:pt>
                <c:pt idx="152">
                  <c:v>5.4879386214398446E-2</c:v>
                </c:pt>
                <c:pt idx="153">
                  <c:v>5.4879718506819074E-2</c:v>
                </c:pt>
                <c:pt idx="154">
                  <c:v>5.4881919272921749E-2</c:v>
                </c:pt>
                <c:pt idx="155">
                  <c:v>5.4882928367377258E-2</c:v>
                </c:pt>
                <c:pt idx="156">
                  <c:v>5.4882492192946344E-2</c:v>
                </c:pt>
                <c:pt idx="157">
                  <c:v>5.4883207117400586E-2</c:v>
                </c:pt>
                <c:pt idx="158">
                  <c:v>5.4882174858969769E-2</c:v>
                </c:pt>
                <c:pt idx="159">
                  <c:v>5.4878183778474102E-2</c:v>
                </c:pt>
                <c:pt idx="160">
                  <c:v>5.4879487244517779E-2</c:v>
                </c:pt>
                <c:pt idx="161">
                  <c:v>5.4880265391346633E-2</c:v>
                </c:pt>
                <c:pt idx="162">
                  <c:v>5.4887263759392964E-2</c:v>
                </c:pt>
                <c:pt idx="163">
                  <c:v>5.4882664340652969E-2</c:v>
                </c:pt>
                <c:pt idx="164">
                  <c:v>5.4889173490329304E-2</c:v>
                </c:pt>
                <c:pt idx="165">
                  <c:v>5.4894482832880807E-2</c:v>
                </c:pt>
                <c:pt idx="166">
                  <c:v>5.4894331863761789E-2</c:v>
                </c:pt>
                <c:pt idx="167">
                  <c:v>5.4895301791606996E-2</c:v>
                </c:pt>
                <c:pt idx="168">
                  <c:v>5.4891704298145258E-2</c:v>
                </c:pt>
                <c:pt idx="169">
                  <c:v>5.4891063908181964E-2</c:v>
                </c:pt>
                <c:pt idx="170">
                  <c:v>5.4889256349222988E-2</c:v>
                </c:pt>
                <c:pt idx="171">
                  <c:v>5.4892407606502533E-2</c:v>
                </c:pt>
                <c:pt idx="172">
                  <c:v>5.4894468730259181E-2</c:v>
                </c:pt>
                <c:pt idx="173">
                  <c:v>5.4899318448886021E-2</c:v>
                </c:pt>
                <c:pt idx="174">
                  <c:v>5.4898558725090439E-2</c:v>
                </c:pt>
                <c:pt idx="175">
                  <c:v>5.4901645079694424E-2</c:v>
                </c:pt>
                <c:pt idx="176">
                  <c:v>5.4899578957178854E-2</c:v>
                </c:pt>
                <c:pt idx="177">
                  <c:v>5.4900604565031867E-2</c:v>
                </c:pt>
                <c:pt idx="178">
                  <c:v>5.4901241691298792E-2</c:v>
                </c:pt>
                <c:pt idx="179">
                  <c:v>5.4901699035042231E-2</c:v>
                </c:pt>
                <c:pt idx="180">
                  <c:v>5.4900758603597347E-2</c:v>
                </c:pt>
                <c:pt idx="181">
                  <c:v>5.4897033319344035E-2</c:v>
                </c:pt>
                <c:pt idx="182">
                  <c:v>5.4896468406941401E-2</c:v>
                </c:pt>
                <c:pt idx="183">
                  <c:v>5.4900047045744874E-2</c:v>
                </c:pt>
                <c:pt idx="184">
                  <c:v>5.4894128003823192E-2</c:v>
                </c:pt>
                <c:pt idx="185">
                  <c:v>5.4893209771883646E-2</c:v>
                </c:pt>
                <c:pt idx="186">
                  <c:v>5.4889536382859594E-2</c:v>
                </c:pt>
                <c:pt idx="187">
                  <c:v>5.4888636368971504E-2</c:v>
                </c:pt>
                <c:pt idx="188">
                  <c:v>5.4892200738882208E-2</c:v>
                </c:pt>
                <c:pt idx="189">
                  <c:v>5.4891712812970943E-2</c:v>
                </c:pt>
                <c:pt idx="190">
                  <c:v>5.4892540392776169E-2</c:v>
                </c:pt>
                <c:pt idx="191">
                  <c:v>5.4892692665005252E-2</c:v>
                </c:pt>
                <c:pt idx="192">
                  <c:v>5.4894977274013108E-2</c:v>
                </c:pt>
                <c:pt idx="193">
                  <c:v>5.489422299743469E-2</c:v>
                </c:pt>
                <c:pt idx="194">
                  <c:v>5.4897308390004944E-2</c:v>
                </c:pt>
                <c:pt idx="195">
                  <c:v>5.4896007988784017E-2</c:v>
                </c:pt>
                <c:pt idx="196">
                  <c:v>5.48966690517112E-2</c:v>
                </c:pt>
                <c:pt idx="197">
                  <c:v>5.4896891123836618E-2</c:v>
                </c:pt>
                <c:pt idx="198">
                  <c:v>5.4901282188184408E-2</c:v>
                </c:pt>
                <c:pt idx="199">
                  <c:v>5.489853225629529E-2</c:v>
                </c:pt>
                <c:pt idx="200">
                  <c:v>5.4898884257891203E-2</c:v>
                </c:pt>
                <c:pt idx="201">
                  <c:v>5.4898418687124827E-2</c:v>
                </c:pt>
                <c:pt idx="202">
                  <c:v>5.4897515128467217E-2</c:v>
                </c:pt>
                <c:pt idx="203">
                  <c:v>5.4898488693358408E-2</c:v>
                </c:pt>
                <c:pt idx="204">
                  <c:v>5.4897653035404566E-2</c:v>
                </c:pt>
                <c:pt idx="205">
                  <c:v>5.4897693675842088E-2</c:v>
                </c:pt>
                <c:pt idx="206">
                  <c:v>5.4898621589729121E-2</c:v>
                </c:pt>
                <c:pt idx="207">
                  <c:v>5.4900898360186488E-2</c:v>
                </c:pt>
                <c:pt idx="208">
                  <c:v>5.4899347955042262E-2</c:v>
                </c:pt>
                <c:pt idx="209">
                  <c:v>5.4898522553610517E-2</c:v>
                </c:pt>
                <c:pt idx="210">
                  <c:v>5.4900252542833428E-2</c:v>
                </c:pt>
                <c:pt idx="211">
                  <c:v>5.4898637797701134E-2</c:v>
                </c:pt>
                <c:pt idx="212">
                  <c:v>5.4897702730378702E-2</c:v>
                </c:pt>
                <c:pt idx="213">
                  <c:v>5.4894698324997937E-2</c:v>
                </c:pt>
                <c:pt idx="214">
                  <c:v>5.4897256924640474E-2</c:v>
                </c:pt>
                <c:pt idx="215">
                  <c:v>5.4900722310449374E-2</c:v>
                </c:pt>
                <c:pt idx="216">
                  <c:v>5.4905347898350762E-2</c:v>
                </c:pt>
                <c:pt idx="217">
                  <c:v>5.4905838233367511E-2</c:v>
                </c:pt>
                <c:pt idx="218">
                  <c:v>5.4906536559514059E-2</c:v>
                </c:pt>
                <c:pt idx="219">
                  <c:v>5.4905954336348463E-2</c:v>
                </c:pt>
                <c:pt idx="220">
                  <c:v>5.4903838427740104E-2</c:v>
                </c:pt>
                <c:pt idx="221">
                  <c:v>5.489988167049787E-2</c:v>
                </c:pt>
                <c:pt idx="222">
                  <c:v>5.4906195920505566E-2</c:v>
                </c:pt>
                <c:pt idx="223">
                  <c:v>5.4908053472421808E-2</c:v>
                </c:pt>
                <c:pt idx="224">
                  <c:v>5.4908967693889185E-2</c:v>
                </c:pt>
                <c:pt idx="225">
                  <c:v>5.4912070630486177E-2</c:v>
                </c:pt>
                <c:pt idx="226">
                  <c:v>5.4913466670753905E-2</c:v>
                </c:pt>
                <c:pt idx="227">
                  <c:v>5.4912118766125839E-2</c:v>
                </c:pt>
                <c:pt idx="228">
                  <c:v>5.4916980846866949E-2</c:v>
                </c:pt>
                <c:pt idx="229">
                  <c:v>5.4913232020595372E-2</c:v>
                </c:pt>
                <c:pt idx="230">
                  <c:v>5.4912075655333417E-2</c:v>
                </c:pt>
                <c:pt idx="231">
                  <c:v>5.4910566925457927E-2</c:v>
                </c:pt>
                <c:pt idx="232">
                  <c:v>5.4911503211680639E-2</c:v>
                </c:pt>
                <c:pt idx="233">
                  <c:v>5.490915042747193E-2</c:v>
                </c:pt>
                <c:pt idx="234">
                  <c:v>5.4910508842352469E-2</c:v>
                </c:pt>
                <c:pt idx="235">
                  <c:v>5.4906880541344086E-2</c:v>
                </c:pt>
                <c:pt idx="236">
                  <c:v>5.4911453274521613E-2</c:v>
                </c:pt>
                <c:pt idx="237">
                  <c:v>5.4911294072207281E-2</c:v>
                </c:pt>
                <c:pt idx="238">
                  <c:v>5.4909541374393245E-2</c:v>
                </c:pt>
                <c:pt idx="239">
                  <c:v>5.4907565547321534E-2</c:v>
                </c:pt>
                <c:pt idx="240">
                  <c:v>5.4911145277450703E-2</c:v>
                </c:pt>
                <c:pt idx="241">
                  <c:v>5.4908346095553277E-2</c:v>
                </c:pt>
                <c:pt idx="242">
                  <c:v>5.4908802308234181E-2</c:v>
                </c:pt>
                <c:pt idx="243">
                  <c:v>5.4902172569872933E-2</c:v>
                </c:pt>
                <c:pt idx="244">
                  <c:v>5.4903799725905013E-2</c:v>
                </c:pt>
                <c:pt idx="245">
                  <c:v>5.4908372276131698E-2</c:v>
                </c:pt>
                <c:pt idx="246">
                  <c:v>5.4906422674917466E-2</c:v>
                </c:pt>
                <c:pt idx="247">
                  <c:v>5.4903947197619221E-2</c:v>
                </c:pt>
                <c:pt idx="248">
                  <c:v>5.4903065503799878E-2</c:v>
                </c:pt>
                <c:pt idx="249">
                  <c:v>5.4908935153823162E-2</c:v>
                </c:pt>
                <c:pt idx="250">
                  <c:v>5.4910540801232893E-2</c:v>
                </c:pt>
                <c:pt idx="251">
                  <c:v>5.4910169564688506E-2</c:v>
                </c:pt>
                <c:pt idx="252">
                  <c:v>5.4908411385870041E-2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7-7047-819B-9D9AB1F9F283}"/>
            </c:ext>
          </c:extLst>
        </c:ser>
        <c:ser>
          <c:idx val="4"/>
          <c:order val="4"/>
          <c:tx>
            <c:strRef>
              <c:f>'CIR Simulation (MLE)'!$I$1</c:f>
              <c:strCache>
                <c:ptCount val="1"/>
                <c:pt idx="0">
                  <c:v>Sims 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(MLE)'!$I$2:$I$254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5.5187755682085657E-2</c:v>
                </c:pt>
                <c:pt idx="2">
                  <c:v>5.5174952463218636E-2</c:v>
                </c:pt>
                <c:pt idx="3">
                  <c:v>5.5158475015083024E-2</c:v>
                </c:pt>
                <c:pt idx="4">
                  <c:v>5.5147300227356796E-2</c:v>
                </c:pt>
                <c:pt idx="5">
                  <c:v>5.5131479573312013E-2</c:v>
                </c:pt>
                <c:pt idx="6">
                  <c:v>5.5120070624712296E-2</c:v>
                </c:pt>
                <c:pt idx="7">
                  <c:v>5.5110575977550709E-2</c:v>
                </c:pt>
                <c:pt idx="8">
                  <c:v>5.5099225216117313E-2</c:v>
                </c:pt>
                <c:pt idx="9">
                  <c:v>5.5091076661271318E-2</c:v>
                </c:pt>
                <c:pt idx="10">
                  <c:v>5.5082057558088628E-2</c:v>
                </c:pt>
                <c:pt idx="11">
                  <c:v>5.507404048974561E-2</c:v>
                </c:pt>
                <c:pt idx="12">
                  <c:v>5.5062791056252211E-2</c:v>
                </c:pt>
                <c:pt idx="13">
                  <c:v>5.5058326969667441E-2</c:v>
                </c:pt>
                <c:pt idx="14">
                  <c:v>5.5048925918281956E-2</c:v>
                </c:pt>
                <c:pt idx="15">
                  <c:v>5.5044696078867993E-2</c:v>
                </c:pt>
                <c:pt idx="16">
                  <c:v>5.5038050623320268E-2</c:v>
                </c:pt>
                <c:pt idx="17">
                  <c:v>5.5025964793640386E-2</c:v>
                </c:pt>
                <c:pt idx="18">
                  <c:v>5.5017425219538015E-2</c:v>
                </c:pt>
                <c:pt idx="19">
                  <c:v>5.5012637249985195E-2</c:v>
                </c:pt>
                <c:pt idx="20">
                  <c:v>5.5006810267102101E-2</c:v>
                </c:pt>
                <c:pt idx="21">
                  <c:v>5.5004691502614847E-2</c:v>
                </c:pt>
                <c:pt idx="22">
                  <c:v>5.4997090755602704E-2</c:v>
                </c:pt>
                <c:pt idx="23">
                  <c:v>5.4992319207098232E-2</c:v>
                </c:pt>
                <c:pt idx="24">
                  <c:v>5.498803769241184E-2</c:v>
                </c:pt>
                <c:pt idx="25">
                  <c:v>5.4983792541396299E-2</c:v>
                </c:pt>
                <c:pt idx="26">
                  <c:v>5.4979240561868398E-2</c:v>
                </c:pt>
                <c:pt idx="27">
                  <c:v>5.4978731750403867E-2</c:v>
                </c:pt>
                <c:pt idx="28">
                  <c:v>5.4976359101443162E-2</c:v>
                </c:pt>
                <c:pt idx="29">
                  <c:v>5.497386889637923E-2</c:v>
                </c:pt>
                <c:pt idx="30">
                  <c:v>5.4974526280612897E-2</c:v>
                </c:pt>
                <c:pt idx="31">
                  <c:v>5.4969726671629159E-2</c:v>
                </c:pt>
                <c:pt idx="32">
                  <c:v>5.4968803656340881E-2</c:v>
                </c:pt>
                <c:pt idx="33">
                  <c:v>5.4967240532651881E-2</c:v>
                </c:pt>
                <c:pt idx="34">
                  <c:v>5.4965997697375028E-2</c:v>
                </c:pt>
                <c:pt idx="35">
                  <c:v>5.4967594824719808E-2</c:v>
                </c:pt>
                <c:pt idx="36">
                  <c:v>5.4970265839906239E-2</c:v>
                </c:pt>
                <c:pt idx="37">
                  <c:v>5.4968586930007758E-2</c:v>
                </c:pt>
                <c:pt idx="38">
                  <c:v>5.4960930380720037E-2</c:v>
                </c:pt>
                <c:pt idx="39">
                  <c:v>5.4957290193248826E-2</c:v>
                </c:pt>
                <c:pt idx="40">
                  <c:v>5.4956383825059171E-2</c:v>
                </c:pt>
                <c:pt idx="41">
                  <c:v>5.4954344498885276E-2</c:v>
                </c:pt>
                <c:pt idx="42">
                  <c:v>5.4950025341493139E-2</c:v>
                </c:pt>
                <c:pt idx="43">
                  <c:v>5.4944133397390189E-2</c:v>
                </c:pt>
                <c:pt idx="44">
                  <c:v>5.4940273228687705E-2</c:v>
                </c:pt>
                <c:pt idx="45">
                  <c:v>5.493655330295099E-2</c:v>
                </c:pt>
                <c:pt idx="46">
                  <c:v>5.4933382692864872E-2</c:v>
                </c:pt>
                <c:pt idx="47">
                  <c:v>5.4927600883263018E-2</c:v>
                </c:pt>
                <c:pt idx="48">
                  <c:v>5.4922390509788317E-2</c:v>
                </c:pt>
                <c:pt idx="49">
                  <c:v>5.4921435663436102E-2</c:v>
                </c:pt>
                <c:pt idx="50">
                  <c:v>5.4920485546092704E-2</c:v>
                </c:pt>
                <c:pt idx="51">
                  <c:v>5.491938012174518E-2</c:v>
                </c:pt>
                <c:pt idx="52">
                  <c:v>5.4919112872978661E-2</c:v>
                </c:pt>
                <c:pt idx="53">
                  <c:v>5.4917022408015548E-2</c:v>
                </c:pt>
                <c:pt idx="54">
                  <c:v>5.491381309342034E-2</c:v>
                </c:pt>
                <c:pt idx="55">
                  <c:v>5.4913270856572917E-2</c:v>
                </c:pt>
                <c:pt idx="56">
                  <c:v>5.4912572374861184E-2</c:v>
                </c:pt>
                <c:pt idx="57">
                  <c:v>5.4914417006442055E-2</c:v>
                </c:pt>
                <c:pt idx="58">
                  <c:v>5.4913622785908139E-2</c:v>
                </c:pt>
                <c:pt idx="59">
                  <c:v>5.4911919757230664E-2</c:v>
                </c:pt>
                <c:pt idx="60">
                  <c:v>5.4915781305512924E-2</c:v>
                </c:pt>
                <c:pt idx="61">
                  <c:v>5.4914912728113809E-2</c:v>
                </c:pt>
                <c:pt idx="62">
                  <c:v>5.4912232031741615E-2</c:v>
                </c:pt>
                <c:pt idx="63">
                  <c:v>5.4911956680766753E-2</c:v>
                </c:pt>
                <c:pt idx="64">
                  <c:v>5.4910220231770134E-2</c:v>
                </c:pt>
                <c:pt idx="65">
                  <c:v>5.4911241394554264E-2</c:v>
                </c:pt>
                <c:pt idx="66">
                  <c:v>5.4908949756943111E-2</c:v>
                </c:pt>
                <c:pt idx="67">
                  <c:v>5.4907419505742218E-2</c:v>
                </c:pt>
                <c:pt idx="68">
                  <c:v>5.4908294619595968E-2</c:v>
                </c:pt>
                <c:pt idx="69">
                  <c:v>5.4905792158507896E-2</c:v>
                </c:pt>
                <c:pt idx="70">
                  <c:v>5.4905409205360634E-2</c:v>
                </c:pt>
                <c:pt idx="71">
                  <c:v>5.4906363775359027E-2</c:v>
                </c:pt>
                <c:pt idx="72">
                  <c:v>5.4908132957832798E-2</c:v>
                </c:pt>
                <c:pt idx="73">
                  <c:v>5.4906859170926747E-2</c:v>
                </c:pt>
                <c:pt idx="74">
                  <c:v>5.491098787089066E-2</c:v>
                </c:pt>
                <c:pt idx="75">
                  <c:v>5.4914758112052604E-2</c:v>
                </c:pt>
                <c:pt idx="76">
                  <c:v>5.4913448975621837E-2</c:v>
                </c:pt>
                <c:pt idx="77">
                  <c:v>5.4914468495857807E-2</c:v>
                </c:pt>
                <c:pt idx="78">
                  <c:v>5.4911979485296809E-2</c:v>
                </c:pt>
                <c:pt idx="79">
                  <c:v>5.4909298153967348E-2</c:v>
                </c:pt>
                <c:pt idx="80">
                  <c:v>5.4908046855074485E-2</c:v>
                </c:pt>
                <c:pt idx="81">
                  <c:v>5.4914086739791305E-2</c:v>
                </c:pt>
                <c:pt idx="82">
                  <c:v>5.490934995659167E-2</c:v>
                </c:pt>
                <c:pt idx="83">
                  <c:v>5.4910437017217581E-2</c:v>
                </c:pt>
                <c:pt idx="84">
                  <c:v>5.4908000265887789E-2</c:v>
                </c:pt>
                <c:pt idx="85">
                  <c:v>5.4907251740426335E-2</c:v>
                </c:pt>
                <c:pt idx="86">
                  <c:v>5.4904209573313496E-2</c:v>
                </c:pt>
                <c:pt idx="87">
                  <c:v>5.4899848170686279E-2</c:v>
                </c:pt>
                <c:pt idx="88">
                  <c:v>5.4901571515711546E-2</c:v>
                </c:pt>
                <c:pt idx="89">
                  <c:v>5.4904364929133448E-2</c:v>
                </c:pt>
                <c:pt idx="90">
                  <c:v>5.4900998903776102E-2</c:v>
                </c:pt>
                <c:pt idx="91">
                  <c:v>5.4902596260344348E-2</c:v>
                </c:pt>
                <c:pt idx="92">
                  <c:v>5.4899155199052897E-2</c:v>
                </c:pt>
                <c:pt idx="93">
                  <c:v>5.4896726837448041E-2</c:v>
                </c:pt>
                <c:pt idx="94">
                  <c:v>5.4899127052407737E-2</c:v>
                </c:pt>
                <c:pt idx="95">
                  <c:v>5.4901500862573269E-2</c:v>
                </c:pt>
                <c:pt idx="96">
                  <c:v>5.4901828636473672E-2</c:v>
                </c:pt>
                <c:pt idx="97">
                  <c:v>5.4901371616656411E-2</c:v>
                </c:pt>
                <c:pt idx="98">
                  <c:v>5.4900360142778284E-2</c:v>
                </c:pt>
                <c:pt idx="99">
                  <c:v>5.4898659026659122E-2</c:v>
                </c:pt>
                <c:pt idx="100">
                  <c:v>5.4891542328266076E-2</c:v>
                </c:pt>
                <c:pt idx="101">
                  <c:v>5.4891135342917369E-2</c:v>
                </c:pt>
                <c:pt idx="102">
                  <c:v>5.4891422798029624E-2</c:v>
                </c:pt>
                <c:pt idx="103">
                  <c:v>5.4887726841883859E-2</c:v>
                </c:pt>
                <c:pt idx="104">
                  <c:v>5.4893819291659159E-2</c:v>
                </c:pt>
                <c:pt idx="105">
                  <c:v>5.4893284060826268E-2</c:v>
                </c:pt>
                <c:pt idx="106">
                  <c:v>5.4891693672826113E-2</c:v>
                </c:pt>
                <c:pt idx="107">
                  <c:v>5.4890504534187493E-2</c:v>
                </c:pt>
                <c:pt idx="108">
                  <c:v>5.4893126141454487E-2</c:v>
                </c:pt>
                <c:pt idx="109">
                  <c:v>5.4889669304130029E-2</c:v>
                </c:pt>
                <c:pt idx="110">
                  <c:v>5.489135604668615E-2</c:v>
                </c:pt>
                <c:pt idx="111">
                  <c:v>5.4891073228801796E-2</c:v>
                </c:pt>
                <c:pt idx="112">
                  <c:v>5.4892019642666393E-2</c:v>
                </c:pt>
                <c:pt idx="113">
                  <c:v>5.4889644200626586E-2</c:v>
                </c:pt>
                <c:pt idx="114">
                  <c:v>5.4889472525401793E-2</c:v>
                </c:pt>
                <c:pt idx="115">
                  <c:v>5.4889996330209814E-2</c:v>
                </c:pt>
                <c:pt idx="116">
                  <c:v>5.4891226183660054E-2</c:v>
                </c:pt>
                <c:pt idx="117">
                  <c:v>5.4892950748671142E-2</c:v>
                </c:pt>
                <c:pt idx="118">
                  <c:v>5.4891371683062143E-2</c:v>
                </c:pt>
                <c:pt idx="119">
                  <c:v>5.4893294679222562E-2</c:v>
                </c:pt>
                <c:pt idx="120">
                  <c:v>5.4890914569830827E-2</c:v>
                </c:pt>
                <c:pt idx="121">
                  <c:v>5.4888369171117307E-2</c:v>
                </c:pt>
                <c:pt idx="122">
                  <c:v>5.4892893102521892E-2</c:v>
                </c:pt>
                <c:pt idx="123">
                  <c:v>5.489058456001969E-2</c:v>
                </c:pt>
                <c:pt idx="124">
                  <c:v>5.4890314455878428E-2</c:v>
                </c:pt>
                <c:pt idx="125">
                  <c:v>5.4887322817257403E-2</c:v>
                </c:pt>
                <c:pt idx="126">
                  <c:v>5.4891482978086534E-2</c:v>
                </c:pt>
                <c:pt idx="127">
                  <c:v>5.4893394434619158E-2</c:v>
                </c:pt>
                <c:pt idx="128">
                  <c:v>5.4893465709481684E-2</c:v>
                </c:pt>
                <c:pt idx="129">
                  <c:v>5.4897777037178054E-2</c:v>
                </c:pt>
                <c:pt idx="130">
                  <c:v>5.4900242122293601E-2</c:v>
                </c:pt>
                <c:pt idx="131">
                  <c:v>5.490088083276895E-2</c:v>
                </c:pt>
                <c:pt idx="132">
                  <c:v>5.489827402725643E-2</c:v>
                </c:pt>
                <c:pt idx="133">
                  <c:v>5.4900976663794634E-2</c:v>
                </c:pt>
                <c:pt idx="134">
                  <c:v>5.4899007037635464E-2</c:v>
                </c:pt>
                <c:pt idx="135">
                  <c:v>5.4901666107687465E-2</c:v>
                </c:pt>
                <c:pt idx="136">
                  <c:v>5.4904149543843137E-2</c:v>
                </c:pt>
                <c:pt idx="137">
                  <c:v>5.4908111373073498E-2</c:v>
                </c:pt>
                <c:pt idx="138">
                  <c:v>5.4908339468160712E-2</c:v>
                </c:pt>
                <c:pt idx="139">
                  <c:v>5.4905913192950559E-2</c:v>
                </c:pt>
                <c:pt idx="140">
                  <c:v>5.4902393555890244E-2</c:v>
                </c:pt>
                <c:pt idx="141">
                  <c:v>5.4904679654167038E-2</c:v>
                </c:pt>
                <c:pt idx="142">
                  <c:v>5.4908107847422456E-2</c:v>
                </c:pt>
                <c:pt idx="143">
                  <c:v>5.4909805826958195E-2</c:v>
                </c:pt>
                <c:pt idx="144">
                  <c:v>5.4909717387497836E-2</c:v>
                </c:pt>
                <c:pt idx="145">
                  <c:v>5.4909371552071505E-2</c:v>
                </c:pt>
                <c:pt idx="146">
                  <c:v>5.4907615168682387E-2</c:v>
                </c:pt>
                <c:pt idx="147">
                  <c:v>5.4909281944583943E-2</c:v>
                </c:pt>
                <c:pt idx="148">
                  <c:v>5.4910011079296481E-2</c:v>
                </c:pt>
                <c:pt idx="149">
                  <c:v>5.4910328621256624E-2</c:v>
                </c:pt>
                <c:pt idx="150">
                  <c:v>5.4911884867402158E-2</c:v>
                </c:pt>
                <c:pt idx="151">
                  <c:v>5.491640111236866E-2</c:v>
                </c:pt>
                <c:pt idx="152">
                  <c:v>5.4922962299065368E-2</c:v>
                </c:pt>
                <c:pt idx="153">
                  <c:v>5.492065431586203E-2</c:v>
                </c:pt>
                <c:pt idx="154">
                  <c:v>5.4920399716529594E-2</c:v>
                </c:pt>
                <c:pt idx="155">
                  <c:v>5.4914246216263514E-2</c:v>
                </c:pt>
                <c:pt idx="156">
                  <c:v>5.4914586663152271E-2</c:v>
                </c:pt>
                <c:pt idx="157">
                  <c:v>5.4919293967700768E-2</c:v>
                </c:pt>
                <c:pt idx="158">
                  <c:v>5.4920637362209854E-2</c:v>
                </c:pt>
                <c:pt idx="159">
                  <c:v>5.4924071256336603E-2</c:v>
                </c:pt>
                <c:pt idx="160">
                  <c:v>5.4926522831372296E-2</c:v>
                </c:pt>
                <c:pt idx="161">
                  <c:v>5.4927293921575325E-2</c:v>
                </c:pt>
                <c:pt idx="162">
                  <c:v>5.4923812315418631E-2</c:v>
                </c:pt>
                <c:pt idx="163">
                  <c:v>5.4919676894135759E-2</c:v>
                </c:pt>
                <c:pt idx="164">
                  <c:v>5.4919374341845996E-2</c:v>
                </c:pt>
                <c:pt idx="165">
                  <c:v>5.4918128942234141E-2</c:v>
                </c:pt>
                <c:pt idx="166">
                  <c:v>5.4919843823610356E-2</c:v>
                </c:pt>
                <c:pt idx="167">
                  <c:v>5.4914798617301856E-2</c:v>
                </c:pt>
                <c:pt idx="168">
                  <c:v>5.4913838115394492E-2</c:v>
                </c:pt>
                <c:pt idx="169">
                  <c:v>5.4916916054440358E-2</c:v>
                </c:pt>
                <c:pt idx="170">
                  <c:v>5.492002518164682E-2</c:v>
                </c:pt>
                <c:pt idx="171">
                  <c:v>5.4917503760289796E-2</c:v>
                </c:pt>
                <c:pt idx="172">
                  <c:v>5.4917895155282059E-2</c:v>
                </c:pt>
                <c:pt idx="173">
                  <c:v>5.4918460844652239E-2</c:v>
                </c:pt>
                <c:pt idx="174">
                  <c:v>5.4916874915059984E-2</c:v>
                </c:pt>
                <c:pt idx="175">
                  <c:v>5.4916416346212922E-2</c:v>
                </c:pt>
                <c:pt idx="176">
                  <c:v>5.4915896431976051E-2</c:v>
                </c:pt>
                <c:pt idx="177">
                  <c:v>5.4916876097905049E-2</c:v>
                </c:pt>
                <c:pt idx="178">
                  <c:v>5.4916048848249986E-2</c:v>
                </c:pt>
                <c:pt idx="179">
                  <c:v>5.4915922492329274E-2</c:v>
                </c:pt>
                <c:pt idx="180">
                  <c:v>5.4916833627308717E-2</c:v>
                </c:pt>
                <c:pt idx="181">
                  <c:v>5.4912389681086103E-2</c:v>
                </c:pt>
                <c:pt idx="182">
                  <c:v>5.4908054008082435E-2</c:v>
                </c:pt>
                <c:pt idx="183">
                  <c:v>5.4911334392318517E-2</c:v>
                </c:pt>
                <c:pt idx="184">
                  <c:v>5.4910703323564493E-2</c:v>
                </c:pt>
                <c:pt idx="185">
                  <c:v>5.4909699748204657E-2</c:v>
                </c:pt>
                <c:pt idx="186">
                  <c:v>5.4905555991477499E-2</c:v>
                </c:pt>
                <c:pt idx="187">
                  <c:v>5.4906632619266961E-2</c:v>
                </c:pt>
                <c:pt idx="188">
                  <c:v>5.4904653673160442E-2</c:v>
                </c:pt>
                <c:pt idx="189">
                  <c:v>5.4904479846060374E-2</c:v>
                </c:pt>
                <c:pt idx="190">
                  <c:v>5.4900745945232102E-2</c:v>
                </c:pt>
                <c:pt idx="191">
                  <c:v>5.4892912249796977E-2</c:v>
                </c:pt>
                <c:pt idx="192">
                  <c:v>5.4894535438338207E-2</c:v>
                </c:pt>
                <c:pt idx="193">
                  <c:v>5.4898681025494056E-2</c:v>
                </c:pt>
                <c:pt idx="194">
                  <c:v>5.4896999222970193E-2</c:v>
                </c:pt>
                <c:pt idx="195">
                  <c:v>5.4896001152007691E-2</c:v>
                </c:pt>
                <c:pt idx="196">
                  <c:v>5.4893162618583853E-2</c:v>
                </c:pt>
                <c:pt idx="197">
                  <c:v>5.4892531066565345E-2</c:v>
                </c:pt>
                <c:pt idx="198">
                  <c:v>5.4893930325034916E-2</c:v>
                </c:pt>
                <c:pt idx="199">
                  <c:v>5.4896159300107328E-2</c:v>
                </c:pt>
                <c:pt idx="200">
                  <c:v>5.4896082889368758E-2</c:v>
                </c:pt>
                <c:pt idx="201">
                  <c:v>5.4897984525659471E-2</c:v>
                </c:pt>
                <c:pt idx="202">
                  <c:v>5.4899730374129638E-2</c:v>
                </c:pt>
                <c:pt idx="203">
                  <c:v>5.4897276201593653E-2</c:v>
                </c:pt>
                <c:pt idx="204">
                  <c:v>5.4899337762910311E-2</c:v>
                </c:pt>
                <c:pt idx="205">
                  <c:v>5.4897082725938989E-2</c:v>
                </c:pt>
                <c:pt idx="206">
                  <c:v>5.4897441067611047E-2</c:v>
                </c:pt>
                <c:pt idx="207">
                  <c:v>5.4898078608513472E-2</c:v>
                </c:pt>
                <c:pt idx="208">
                  <c:v>5.4897343195714689E-2</c:v>
                </c:pt>
                <c:pt idx="209">
                  <c:v>5.4899052544877758E-2</c:v>
                </c:pt>
                <c:pt idx="210">
                  <c:v>5.4899915216969117E-2</c:v>
                </c:pt>
                <c:pt idx="211">
                  <c:v>5.4904415160181713E-2</c:v>
                </c:pt>
                <c:pt idx="212">
                  <c:v>5.4901062850310489E-2</c:v>
                </c:pt>
                <c:pt idx="213">
                  <c:v>5.489976948715538E-2</c:v>
                </c:pt>
                <c:pt idx="214">
                  <c:v>5.4900740237379432E-2</c:v>
                </c:pt>
                <c:pt idx="215">
                  <c:v>5.4896160304193579E-2</c:v>
                </c:pt>
                <c:pt idx="216">
                  <c:v>5.4894557033695328E-2</c:v>
                </c:pt>
                <c:pt idx="217">
                  <c:v>5.4895212405538574E-2</c:v>
                </c:pt>
                <c:pt idx="218">
                  <c:v>5.489909120183635E-2</c:v>
                </c:pt>
                <c:pt idx="219">
                  <c:v>5.4901404772315997E-2</c:v>
                </c:pt>
                <c:pt idx="220">
                  <c:v>5.490063956962881E-2</c:v>
                </c:pt>
                <c:pt idx="221">
                  <c:v>5.4897561510434761E-2</c:v>
                </c:pt>
                <c:pt idx="222">
                  <c:v>5.4894761547634702E-2</c:v>
                </c:pt>
                <c:pt idx="223">
                  <c:v>5.4897987678896719E-2</c:v>
                </c:pt>
                <c:pt idx="224">
                  <c:v>5.4900677579913161E-2</c:v>
                </c:pt>
                <c:pt idx="225">
                  <c:v>5.4903771140150354E-2</c:v>
                </c:pt>
                <c:pt idx="226">
                  <c:v>5.4904361648983435E-2</c:v>
                </c:pt>
                <c:pt idx="227">
                  <c:v>5.4903939045444765E-2</c:v>
                </c:pt>
                <c:pt idx="228">
                  <c:v>5.4902638990576159E-2</c:v>
                </c:pt>
                <c:pt idx="229">
                  <c:v>5.4905370985996668E-2</c:v>
                </c:pt>
                <c:pt idx="230">
                  <c:v>5.4903373115698165E-2</c:v>
                </c:pt>
                <c:pt idx="231">
                  <c:v>5.4899956539995201E-2</c:v>
                </c:pt>
                <c:pt idx="232">
                  <c:v>5.4897636156306294E-2</c:v>
                </c:pt>
                <c:pt idx="233">
                  <c:v>5.4898654149189006E-2</c:v>
                </c:pt>
                <c:pt idx="234">
                  <c:v>5.4899674412824305E-2</c:v>
                </c:pt>
                <c:pt idx="235">
                  <c:v>5.490176294820482E-2</c:v>
                </c:pt>
                <c:pt idx="236">
                  <c:v>5.4905033383454788E-2</c:v>
                </c:pt>
                <c:pt idx="237">
                  <c:v>5.4906945690215724E-2</c:v>
                </c:pt>
                <c:pt idx="238">
                  <c:v>5.490811044675746E-2</c:v>
                </c:pt>
                <c:pt idx="239">
                  <c:v>5.4906792510110256E-2</c:v>
                </c:pt>
                <c:pt idx="240">
                  <c:v>5.490737066068796E-2</c:v>
                </c:pt>
                <c:pt idx="241">
                  <c:v>5.4909008924492055E-2</c:v>
                </c:pt>
                <c:pt idx="242">
                  <c:v>5.4911325794151547E-2</c:v>
                </c:pt>
                <c:pt idx="243">
                  <c:v>5.4911111998617902E-2</c:v>
                </c:pt>
                <c:pt idx="244">
                  <c:v>5.4911007961914289E-2</c:v>
                </c:pt>
                <c:pt idx="245">
                  <c:v>5.490858932405409E-2</c:v>
                </c:pt>
                <c:pt idx="246">
                  <c:v>5.4908874660245688E-2</c:v>
                </c:pt>
                <c:pt idx="247">
                  <c:v>5.4909380115945046E-2</c:v>
                </c:pt>
                <c:pt idx="248">
                  <c:v>5.4905722665707771E-2</c:v>
                </c:pt>
                <c:pt idx="249">
                  <c:v>5.4906405725767375E-2</c:v>
                </c:pt>
                <c:pt idx="250">
                  <c:v>5.4903186806283651E-2</c:v>
                </c:pt>
                <c:pt idx="251">
                  <c:v>5.4906200947609729E-2</c:v>
                </c:pt>
                <c:pt idx="252">
                  <c:v>5.4903615544446338E-2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7-7047-819B-9D9AB1F9F283}"/>
            </c:ext>
          </c:extLst>
        </c:ser>
        <c:ser>
          <c:idx val="5"/>
          <c:order val="5"/>
          <c:tx>
            <c:strRef>
              <c:f>'CIR Simulation (MLE)'!$J$1</c:f>
              <c:strCache>
                <c:ptCount val="1"/>
                <c:pt idx="0">
                  <c:v>Sims 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(MLE)'!$J$2:$J$254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5.5187013161962409E-2</c:v>
                </c:pt>
                <c:pt idx="2">
                  <c:v>5.5178676442499359E-2</c:v>
                </c:pt>
                <c:pt idx="3">
                  <c:v>5.516692703300121E-2</c:v>
                </c:pt>
                <c:pt idx="4">
                  <c:v>5.5147876201701466E-2</c:v>
                </c:pt>
                <c:pt idx="5">
                  <c:v>5.5135347372480999E-2</c:v>
                </c:pt>
                <c:pt idx="6">
                  <c:v>5.5128250258504312E-2</c:v>
                </c:pt>
                <c:pt idx="7">
                  <c:v>5.5119017648234805E-2</c:v>
                </c:pt>
                <c:pt idx="8">
                  <c:v>5.5107252859478859E-2</c:v>
                </c:pt>
                <c:pt idx="9">
                  <c:v>5.510086442135026E-2</c:v>
                </c:pt>
                <c:pt idx="10">
                  <c:v>5.5089724375290278E-2</c:v>
                </c:pt>
                <c:pt idx="11">
                  <c:v>5.5083142643060461E-2</c:v>
                </c:pt>
                <c:pt idx="12">
                  <c:v>5.5072980461158924E-2</c:v>
                </c:pt>
                <c:pt idx="13">
                  <c:v>5.5065385821992482E-2</c:v>
                </c:pt>
                <c:pt idx="14">
                  <c:v>5.5053319138248631E-2</c:v>
                </c:pt>
                <c:pt idx="15">
                  <c:v>5.5051688708041085E-2</c:v>
                </c:pt>
                <c:pt idx="16">
                  <c:v>5.5045837046427883E-2</c:v>
                </c:pt>
                <c:pt idx="17">
                  <c:v>5.5036322890282596E-2</c:v>
                </c:pt>
                <c:pt idx="18">
                  <c:v>5.5029632135905802E-2</c:v>
                </c:pt>
                <c:pt idx="19">
                  <c:v>5.5021721138858962E-2</c:v>
                </c:pt>
                <c:pt idx="20">
                  <c:v>5.5013591648984145E-2</c:v>
                </c:pt>
                <c:pt idx="21">
                  <c:v>5.5006774208846469E-2</c:v>
                </c:pt>
                <c:pt idx="22">
                  <c:v>5.5003790569273889E-2</c:v>
                </c:pt>
                <c:pt idx="23">
                  <c:v>5.4997794643537656E-2</c:v>
                </c:pt>
                <c:pt idx="24">
                  <c:v>5.4991850362092781E-2</c:v>
                </c:pt>
                <c:pt idx="25">
                  <c:v>5.4987548324240069E-2</c:v>
                </c:pt>
                <c:pt idx="26">
                  <c:v>5.4980733873016614E-2</c:v>
                </c:pt>
                <c:pt idx="27">
                  <c:v>5.4973429496842384E-2</c:v>
                </c:pt>
                <c:pt idx="28">
                  <c:v>5.4969047225521761E-2</c:v>
                </c:pt>
                <c:pt idx="29">
                  <c:v>5.4962086462076405E-2</c:v>
                </c:pt>
                <c:pt idx="30">
                  <c:v>5.4957257848786134E-2</c:v>
                </c:pt>
                <c:pt idx="31">
                  <c:v>5.4950582938773411E-2</c:v>
                </c:pt>
                <c:pt idx="32">
                  <c:v>5.494680753912147E-2</c:v>
                </c:pt>
                <c:pt idx="33">
                  <c:v>5.4948553031714323E-2</c:v>
                </c:pt>
                <c:pt idx="34">
                  <c:v>5.4945280513364989E-2</c:v>
                </c:pt>
                <c:pt idx="35">
                  <c:v>5.4946767312035766E-2</c:v>
                </c:pt>
                <c:pt idx="36">
                  <c:v>5.4949781169519651E-2</c:v>
                </c:pt>
                <c:pt idx="37">
                  <c:v>5.4947347166394191E-2</c:v>
                </c:pt>
                <c:pt idx="38">
                  <c:v>5.494761220373065E-2</c:v>
                </c:pt>
                <c:pt idx="39">
                  <c:v>5.494461671726418E-2</c:v>
                </c:pt>
                <c:pt idx="40">
                  <c:v>5.494089833750701E-2</c:v>
                </c:pt>
                <c:pt idx="41">
                  <c:v>5.494036379538042E-2</c:v>
                </c:pt>
                <c:pt idx="42">
                  <c:v>5.4938076887727366E-2</c:v>
                </c:pt>
                <c:pt idx="43">
                  <c:v>5.4933146715708578E-2</c:v>
                </c:pt>
                <c:pt idx="44">
                  <c:v>5.4931383767547276E-2</c:v>
                </c:pt>
                <c:pt idx="45">
                  <c:v>5.4928637091189468E-2</c:v>
                </c:pt>
                <c:pt idx="46">
                  <c:v>5.4926619795090031E-2</c:v>
                </c:pt>
                <c:pt idx="47">
                  <c:v>5.4930037940345421E-2</c:v>
                </c:pt>
                <c:pt idx="48">
                  <c:v>5.4930161912166001E-2</c:v>
                </c:pt>
                <c:pt idx="49">
                  <c:v>5.49301898988055E-2</c:v>
                </c:pt>
                <c:pt idx="50">
                  <c:v>5.4932731698034185E-2</c:v>
                </c:pt>
                <c:pt idx="51">
                  <c:v>5.4930175277911844E-2</c:v>
                </c:pt>
                <c:pt idx="52">
                  <c:v>5.4927012630647649E-2</c:v>
                </c:pt>
                <c:pt idx="53">
                  <c:v>5.4922348709742511E-2</c:v>
                </c:pt>
                <c:pt idx="54">
                  <c:v>5.4918596213624375E-2</c:v>
                </c:pt>
                <c:pt idx="55">
                  <c:v>5.4917801376667047E-2</c:v>
                </c:pt>
                <c:pt idx="56">
                  <c:v>5.491876387704963E-2</c:v>
                </c:pt>
                <c:pt idx="57">
                  <c:v>5.4916081514550415E-2</c:v>
                </c:pt>
                <c:pt idx="58">
                  <c:v>5.4914537775990625E-2</c:v>
                </c:pt>
                <c:pt idx="59">
                  <c:v>5.4908134329026956E-2</c:v>
                </c:pt>
                <c:pt idx="60">
                  <c:v>5.4905316536831734E-2</c:v>
                </c:pt>
                <c:pt idx="61">
                  <c:v>5.490351509466776E-2</c:v>
                </c:pt>
                <c:pt idx="62">
                  <c:v>5.4902289112365305E-2</c:v>
                </c:pt>
                <c:pt idx="63">
                  <c:v>5.4902640408580616E-2</c:v>
                </c:pt>
                <c:pt idx="64">
                  <c:v>5.4899446893046086E-2</c:v>
                </c:pt>
                <c:pt idx="65">
                  <c:v>5.4901327544384648E-2</c:v>
                </c:pt>
                <c:pt idx="66">
                  <c:v>5.4901045427134941E-2</c:v>
                </c:pt>
                <c:pt idx="67">
                  <c:v>5.490394733741584E-2</c:v>
                </c:pt>
                <c:pt idx="68">
                  <c:v>5.4900101500782936E-2</c:v>
                </c:pt>
                <c:pt idx="69">
                  <c:v>5.4900173338142927E-2</c:v>
                </c:pt>
                <c:pt idx="70">
                  <c:v>5.4898146367018411E-2</c:v>
                </c:pt>
                <c:pt idx="71">
                  <c:v>5.4900562937508952E-2</c:v>
                </c:pt>
                <c:pt idx="72">
                  <c:v>5.4901975805031859E-2</c:v>
                </c:pt>
                <c:pt idx="73">
                  <c:v>5.4906969476064584E-2</c:v>
                </c:pt>
                <c:pt idx="74">
                  <c:v>5.4904599185584997E-2</c:v>
                </c:pt>
                <c:pt idx="75">
                  <c:v>5.4900158877239709E-2</c:v>
                </c:pt>
                <c:pt idx="76">
                  <c:v>5.4903213999457703E-2</c:v>
                </c:pt>
                <c:pt idx="77">
                  <c:v>5.4904631377962233E-2</c:v>
                </c:pt>
                <c:pt idx="78">
                  <c:v>5.4906113497162345E-2</c:v>
                </c:pt>
                <c:pt idx="79">
                  <c:v>5.4907058720740219E-2</c:v>
                </c:pt>
                <c:pt idx="80">
                  <c:v>5.4908439972127646E-2</c:v>
                </c:pt>
                <c:pt idx="81">
                  <c:v>5.4907413499951173E-2</c:v>
                </c:pt>
                <c:pt idx="82">
                  <c:v>5.491077550151148E-2</c:v>
                </c:pt>
                <c:pt idx="83">
                  <c:v>5.4910153142657431E-2</c:v>
                </c:pt>
                <c:pt idx="84">
                  <c:v>5.4911501002919062E-2</c:v>
                </c:pt>
                <c:pt idx="85">
                  <c:v>5.4906130295645873E-2</c:v>
                </c:pt>
                <c:pt idx="86">
                  <c:v>5.4907384570983542E-2</c:v>
                </c:pt>
                <c:pt idx="87">
                  <c:v>5.4901647798935811E-2</c:v>
                </c:pt>
                <c:pt idx="88">
                  <c:v>5.4905475751675377E-2</c:v>
                </c:pt>
                <c:pt idx="89">
                  <c:v>5.4909944489152103E-2</c:v>
                </c:pt>
                <c:pt idx="90">
                  <c:v>5.4908522332735119E-2</c:v>
                </c:pt>
                <c:pt idx="91">
                  <c:v>5.4906058342318896E-2</c:v>
                </c:pt>
                <c:pt idx="92">
                  <c:v>5.4907457171246274E-2</c:v>
                </c:pt>
                <c:pt idx="93">
                  <c:v>5.491082868824769E-2</c:v>
                </c:pt>
                <c:pt idx="94">
                  <c:v>5.4909202600413709E-2</c:v>
                </c:pt>
                <c:pt idx="95">
                  <c:v>5.490904710018283E-2</c:v>
                </c:pt>
                <c:pt idx="96">
                  <c:v>5.4906954766470194E-2</c:v>
                </c:pt>
                <c:pt idx="97">
                  <c:v>5.4906428935132132E-2</c:v>
                </c:pt>
                <c:pt idx="98">
                  <c:v>5.4906518704896705E-2</c:v>
                </c:pt>
                <c:pt idx="99">
                  <c:v>5.4904158324435834E-2</c:v>
                </c:pt>
                <c:pt idx="100">
                  <c:v>5.4906006952501765E-2</c:v>
                </c:pt>
                <c:pt idx="101">
                  <c:v>5.4908183748300018E-2</c:v>
                </c:pt>
                <c:pt idx="102">
                  <c:v>5.4902219964552273E-2</c:v>
                </c:pt>
                <c:pt idx="103">
                  <c:v>5.4901611682046422E-2</c:v>
                </c:pt>
                <c:pt idx="104">
                  <c:v>5.4899792627820729E-2</c:v>
                </c:pt>
                <c:pt idx="105">
                  <c:v>5.4900962898623035E-2</c:v>
                </c:pt>
                <c:pt idx="106">
                  <c:v>5.4897826956247592E-2</c:v>
                </c:pt>
                <c:pt idx="107">
                  <c:v>5.489874229176836E-2</c:v>
                </c:pt>
                <c:pt idx="108">
                  <c:v>5.4903319792148811E-2</c:v>
                </c:pt>
                <c:pt idx="109">
                  <c:v>5.4902169948737117E-2</c:v>
                </c:pt>
                <c:pt idx="110">
                  <c:v>5.489972488955204E-2</c:v>
                </c:pt>
                <c:pt idx="111">
                  <c:v>5.4900135422882322E-2</c:v>
                </c:pt>
                <c:pt idx="112">
                  <c:v>5.4899567495152408E-2</c:v>
                </c:pt>
                <c:pt idx="113">
                  <c:v>5.4898435412977772E-2</c:v>
                </c:pt>
                <c:pt idx="114">
                  <c:v>5.4901933513902552E-2</c:v>
                </c:pt>
                <c:pt idx="115">
                  <c:v>5.4905502175587324E-2</c:v>
                </c:pt>
                <c:pt idx="116">
                  <c:v>5.4903921187353703E-2</c:v>
                </c:pt>
                <c:pt idx="117">
                  <c:v>5.490819641454063E-2</c:v>
                </c:pt>
                <c:pt idx="118">
                  <c:v>5.4910838221052728E-2</c:v>
                </c:pt>
                <c:pt idx="119">
                  <c:v>5.4911894080929613E-2</c:v>
                </c:pt>
                <c:pt idx="120">
                  <c:v>5.4916435493956986E-2</c:v>
                </c:pt>
                <c:pt idx="121">
                  <c:v>5.491495633059594E-2</c:v>
                </c:pt>
                <c:pt idx="122">
                  <c:v>5.4916721392632623E-2</c:v>
                </c:pt>
                <c:pt idx="123">
                  <c:v>5.4917354038470305E-2</c:v>
                </c:pt>
                <c:pt idx="124">
                  <c:v>5.4915382172331391E-2</c:v>
                </c:pt>
                <c:pt idx="125">
                  <c:v>5.4916180906727195E-2</c:v>
                </c:pt>
                <c:pt idx="126">
                  <c:v>5.4917534200624417E-2</c:v>
                </c:pt>
                <c:pt idx="127">
                  <c:v>5.491602848700166E-2</c:v>
                </c:pt>
                <c:pt idx="128">
                  <c:v>5.4915503214075817E-2</c:v>
                </c:pt>
                <c:pt idx="129">
                  <c:v>5.4908373066068661E-2</c:v>
                </c:pt>
                <c:pt idx="130">
                  <c:v>5.4910070054660129E-2</c:v>
                </c:pt>
                <c:pt idx="131">
                  <c:v>5.4907605955154232E-2</c:v>
                </c:pt>
                <c:pt idx="132">
                  <c:v>5.4909024458621419E-2</c:v>
                </c:pt>
                <c:pt idx="133">
                  <c:v>5.4908473071353887E-2</c:v>
                </c:pt>
                <c:pt idx="134">
                  <c:v>5.4905836720906154E-2</c:v>
                </c:pt>
                <c:pt idx="135">
                  <c:v>5.4904725635296796E-2</c:v>
                </c:pt>
                <c:pt idx="136">
                  <c:v>5.4905580300939484E-2</c:v>
                </c:pt>
                <c:pt idx="137">
                  <c:v>5.4904108217839989E-2</c:v>
                </c:pt>
                <c:pt idx="138">
                  <c:v>5.4900501978319485E-2</c:v>
                </c:pt>
                <c:pt idx="139">
                  <c:v>5.4899610598791483E-2</c:v>
                </c:pt>
                <c:pt idx="140">
                  <c:v>5.4899959645585979E-2</c:v>
                </c:pt>
                <c:pt idx="141">
                  <c:v>5.4902232813366134E-2</c:v>
                </c:pt>
                <c:pt idx="142">
                  <c:v>5.4906502195309105E-2</c:v>
                </c:pt>
                <c:pt idx="143">
                  <c:v>5.4908952352857053E-2</c:v>
                </c:pt>
                <c:pt idx="144">
                  <c:v>5.4909688135559354E-2</c:v>
                </c:pt>
                <c:pt idx="145">
                  <c:v>5.4910915716721888E-2</c:v>
                </c:pt>
                <c:pt idx="146">
                  <c:v>5.4911549709578657E-2</c:v>
                </c:pt>
                <c:pt idx="147">
                  <c:v>5.4906033476138587E-2</c:v>
                </c:pt>
                <c:pt idx="148">
                  <c:v>5.4903683310480594E-2</c:v>
                </c:pt>
                <c:pt idx="149">
                  <c:v>5.4898218329602198E-2</c:v>
                </c:pt>
                <c:pt idx="150">
                  <c:v>5.490032621531956E-2</c:v>
                </c:pt>
                <c:pt idx="151">
                  <c:v>5.4899973574463572E-2</c:v>
                </c:pt>
                <c:pt idx="152">
                  <c:v>5.4897334382559393E-2</c:v>
                </c:pt>
                <c:pt idx="153">
                  <c:v>5.4901136276722259E-2</c:v>
                </c:pt>
                <c:pt idx="154">
                  <c:v>5.4901208375224803E-2</c:v>
                </c:pt>
                <c:pt idx="155">
                  <c:v>5.4902903236018902E-2</c:v>
                </c:pt>
                <c:pt idx="156">
                  <c:v>5.4901245834062057E-2</c:v>
                </c:pt>
                <c:pt idx="157">
                  <c:v>5.4904671999259906E-2</c:v>
                </c:pt>
                <c:pt idx="158">
                  <c:v>5.4904890368190976E-2</c:v>
                </c:pt>
                <c:pt idx="159">
                  <c:v>5.4907296453527175E-2</c:v>
                </c:pt>
                <c:pt idx="160">
                  <c:v>5.4905411346638101E-2</c:v>
                </c:pt>
                <c:pt idx="161">
                  <c:v>5.4902947171948956E-2</c:v>
                </c:pt>
                <c:pt idx="162">
                  <c:v>5.4904266325803787E-2</c:v>
                </c:pt>
                <c:pt idx="163">
                  <c:v>5.4903125654101215E-2</c:v>
                </c:pt>
                <c:pt idx="164">
                  <c:v>5.4906281059197988E-2</c:v>
                </c:pt>
                <c:pt idx="165">
                  <c:v>5.4902164719994616E-2</c:v>
                </c:pt>
                <c:pt idx="166">
                  <c:v>5.4903712153865691E-2</c:v>
                </c:pt>
                <c:pt idx="167">
                  <c:v>5.4903264055411939E-2</c:v>
                </c:pt>
                <c:pt idx="168">
                  <c:v>5.4904509781550065E-2</c:v>
                </c:pt>
                <c:pt idx="169">
                  <c:v>5.4901816786222149E-2</c:v>
                </c:pt>
                <c:pt idx="170">
                  <c:v>5.4900707293307253E-2</c:v>
                </c:pt>
                <c:pt idx="171">
                  <c:v>5.4899487316166874E-2</c:v>
                </c:pt>
                <c:pt idx="172">
                  <c:v>5.4899952754106023E-2</c:v>
                </c:pt>
                <c:pt idx="173">
                  <c:v>5.489831868341942E-2</c:v>
                </c:pt>
                <c:pt idx="174">
                  <c:v>5.4900227934692361E-2</c:v>
                </c:pt>
                <c:pt idx="175">
                  <c:v>5.4901794628884483E-2</c:v>
                </c:pt>
                <c:pt idx="176">
                  <c:v>5.4901948706483794E-2</c:v>
                </c:pt>
                <c:pt idx="177">
                  <c:v>5.4903497170909921E-2</c:v>
                </c:pt>
                <c:pt idx="178">
                  <c:v>5.4901945736398505E-2</c:v>
                </c:pt>
                <c:pt idx="179">
                  <c:v>5.4895817233190453E-2</c:v>
                </c:pt>
                <c:pt idx="180">
                  <c:v>5.4901252580965454E-2</c:v>
                </c:pt>
                <c:pt idx="181">
                  <c:v>5.4900448150488224E-2</c:v>
                </c:pt>
                <c:pt idx="182">
                  <c:v>5.4900708871869472E-2</c:v>
                </c:pt>
                <c:pt idx="183">
                  <c:v>5.4904290405242681E-2</c:v>
                </c:pt>
                <c:pt idx="184">
                  <c:v>5.4905669017378492E-2</c:v>
                </c:pt>
                <c:pt idx="185">
                  <c:v>5.490700933906905E-2</c:v>
                </c:pt>
                <c:pt idx="186">
                  <c:v>5.4912817766150958E-2</c:v>
                </c:pt>
                <c:pt idx="187">
                  <c:v>5.4914244892362525E-2</c:v>
                </c:pt>
                <c:pt idx="188">
                  <c:v>5.4915085753985446E-2</c:v>
                </c:pt>
                <c:pt idx="189">
                  <c:v>5.4917978130143805E-2</c:v>
                </c:pt>
                <c:pt idx="190">
                  <c:v>5.4919324834090989E-2</c:v>
                </c:pt>
                <c:pt idx="191">
                  <c:v>5.4918827373486329E-2</c:v>
                </c:pt>
                <c:pt idx="192">
                  <c:v>5.4918423619770985E-2</c:v>
                </c:pt>
                <c:pt idx="193">
                  <c:v>5.4921539753914644E-2</c:v>
                </c:pt>
                <c:pt idx="194">
                  <c:v>5.4920161149763821E-2</c:v>
                </c:pt>
                <c:pt idx="195">
                  <c:v>5.492095174785315E-2</c:v>
                </c:pt>
                <c:pt idx="196">
                  <c:v>5.4920392621871754E-2</c:v>
                </c:pt>
                <c:pt idx="197">
                  <c:v>5.4919173995503855E-2</c:v>
                </c:pt>
                <c:pt idx="198">
                  <c:v>5.4915149834149468E-2</c:v>
                </c:pt>
                <c:pt idx="199">
                  <c:v>5.491219168058762E-2</c:v>
                </c:pt>
                <c:pt idx="200">
                  <c:v>5.4907683612856528E-2</c:v>
                </c:pt>
                <c:pt idx="201">
                  <c:v>5.4903674579040211E-2</c:v>
                </c:pt>
                <c:pt idx="202">
                  <c:v>5.4899971343599668E-2</c:v>
                </c:pt>
                <c:pt idx="203">
                  <c:v>5.4902150928354147E-2</c:v>
                </c:pt>
                <c:pt idx="204">
                  <c:v>5.4904557139016257E-2</c:v>
                </c:pt>
                <c:pt idx="205">
                  <c:v>5.4905885349243677E-2</c:v>
                </c:pt>
                <c:pt idx="206">
                  <c:v>5.4905225231688698E-2</c:v>
                </c:pt>
                <c:pt idx="207">
                  <c:v>5.4910069857676699E-2</c:v>
                </c:pt>
                <c:pt idx="208">
                  <c:v>5.4907552510251235E-2</c:v>
                </c:pt>
                <c:pt idx="209">
                  <c:v>5.4905647546551965E-2</c:v>
                </c:pt>
                <c:pt idx="210">
                  <c:v>5.4905095694949141E-2</c:v>
                </c:pt>
                <c:pt idx="211">
                  <c:v>5.4906099490433485E-2</c:v>
                </c:pt>
                <c:pt idx="212">
                  <c:v>5.4907833424529109E-2</c:v>
                </c:pt>
                <c:pt idx="213">
                  <c:v>5.4904586612061407E-2</c:v>
                </c:pt>
                <c:pt idx="214">
                  <c:v>5.4902876121380978E-2</c:v>
                </c:pt>
                <c:pt idx="215">
                  <c:v>5.4898898698383249E-2</c:v>
                </c:pt>
                <c:pt idx="216">
                  <c:v>5.4902050267943849E-2</c:v>
                </c:pt>
                <c:pt idx="217">
                  <c:v>5.4902925468856015E-2</c:v>
                </c:pt>
                <c:pt idx="218">
                  <c:v>5.4906914710980928E-2</c:v>
                </c:pt>
                <c:pt idx="219">
                  <c:v>5.4909244008339887E-2</c:v>
                </c:pt>
                <c:pt idx="220">
                  <c:v>5.4904797776353542E-2</c:v>
                </c:pt>
                <c:pt idx="221">
                  <c:v>5.4904739671518238E-2</c:v>
                </c:pt>
                <c:pt idx="222">
                  <c:v>5.4907215147884707E-2</c:v>
                </c:pt>
                <c:pt idx="223">
                  <c:v>5.4903787577677568E-2</c:v>
                </c:pt>
                <c:pt idx="224">
                  <c:v>5.4901226491866913E-2</c:v>
                </c:pt>
                <c:pt idx="225">
                  <c:v>5.4898448546667387E-2</c:v>
                </c:pt>
                <c:pt idx="226">
                  <c:v>5.4894137389178435E-2</c:v>
                </c:pt>
                <c:pt idx="227">
                  <c:v>5.4898536301637664E-2</c:v>
                </c:pt>
                <c:pt idx="228">
                  <c:v>5.4898808099502136E-2</c:v>
                </c:pt>
                <c:pt idx="229">
                  <c:v>5.4897475615712905E-2</c:v>
                </c:pt>
                <c:pt idx="230">
                  <c:v>5.489902877906503E-2</c:v>
                </c:pt>
                <c:pt idx="231">
                  <c:v>5.4900472559991566E-2</c:v>
                </c:pt>
                <c:pt idx="232">
                  <c:v>5.4898044678381663E-2</c:v>
                </c:pt>
                <c:pt idx="233">
                  <c:v>5.4892695669260035E-2</c:v>
                </c:pt>
                <c:pt idx="234">
                  <c:v>5.4895605068119753E-2</c:v>
                </c:pt>
                <c:pt idx="235">
                  <c:v>5.4901950576402112E-2</c:v>
                </c:pt>
                <c:pt idx="236">
                  <c:v>5.4901658999634569E-2</c:v>
                </c:pt>
                <c:pt idx="237">
                  <c:v>5.4899256154626465E-2</c:v>
                </c:pt>
                <c:pt idx="238">
                  <c:v>5.4899098771186629E-2</c:v>
                </c:pt>
                <c:pt idx="239">
                  <c:v>5.4897344059598549E-2</c:v>
                </c:pt>
                <c:pt idx="240">
                  <c:v>5.4897840187326089E-2</c:v>
                </c:pt>
                <c:pt idx="241">
                  <c:v>5.4895093368593099E-2</c:v>
                </c:pt>
                <c:pt idx="242">
                  <c:v>5.4890510620740129E-2</c:v>
                </c:pt>
                <c:pt idx="243">
                  <c:v>5.4888740034659877E-2</c:v>
                </c:pt>
                <c:pt idx="244">
                  <c:v>5.488657070928598E-2</c:v>
                </c:pt>
                <c:pt idx="245">
                  <c:v>5.4882339933389097E-2</c:v>
                </c:pt>
                <c:pt idx="246">
                  <c:v>5.4880861757723123E-2</c:v>
                </c:pt>
                <c:pt idx="247">
                  <c:v>5.4884226659530196E-2</c:v>
                </c:pt>
                <c:pt idx="248">
                  <c:v>5.4883336478419011E-2</c:v>
                </c:pt>
                <c:pt idx="249">
                  <c:v>5.4882332423609667E-2</c:v>
                </c:pt>
                <c:pt idx="250">
                  <c:v>5.4881263088179401E-2</c:v>
                </c:pt>
                <c:pt idx="251">
                  <c:v>5.4879285762090405E-2</c:v>
                </c:pt>
                <c:pt idx="252">
                  <c:v>5.4877577845222493E-2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67-7047-819B-9D9AB1F9F283}"/>
            </c:ext>
          </c:extLst>
        </c:ser>
        <c:ser>
          <c:idx val="6"/>
          <c:order val="6"/>
          <c:tx>
            <c:strRef>
              <c:f>'CIR Simulation (MLE)'!$K$1</c:f>
              <c:strCache>
                <c:ptCount val="1"/>
                <c:pt idx="0">
                  <c:v>Sims 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(MLE)'!$K$2:$K$254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5.5186476712747408E-2</c:v>
                </c:pt>
                <c:pt idx="2">
                  <c:v>5.5175629038680285E-2</c:v>
                </c:pt>
                <c:pt idx="3">
                  <c:v>5.5164596453566167E-2</c:v>
                </c:pt>
                <c:pt idx="4">
                  <c:v>5.5155741466130032E-2</c:v>
                </c:pt>
                <c:pt idx="5">
                  <c:v>5.5143350872950615E-2</c:v>
                </c:pt>
                <c:pt idx="6">
                  <c:v>5.513430669435606E-2</c:v>
                </c:pt>
                <c:pt idx="7">
                  <c:v>5.5124141563235494E-2</c:v>
                </c:pt>
                <c:pt idx="8">
                  <c:v>5.5114839584224237E-2</c:v>
                </c:pt>
                <c:pt idx="9">
                  <c:v>5.510527282713653E-2</c:v>
                </c:pt>
                <c:pt idx="10">
                  <c:v>5.5099389133695692E-2</c:v>
                </c:pt>
                <c:pt idx="11">
                  <c:v>5.5088515649441158E-2</c:v>
                </c:pt>
                <c:pt idx="12">
                  <c:v>5.507648528524399E-2</c:v>
                </c:pt>
                <c:pt idx="13">
                  <c:v>5.5066774009613649E-2</c:v>
                </c:pt>
                <c:pt idx="14">
                  <c:v>5.5055031131158061E-2</c:v>
                </c:pt>
                <c:pt idx="15">
                  <c:v>5.5046961076644273E-2</c:v>
                </c:pt>
                <c:pt idx="16">
                  <c:v>5.5040102752558044E-2</c:v>
                </c:pt>
                <c:pt idx="17">
                  <c:v>5.5036790851699088E-2</c:v>
                </c:pt>
                <c:pt idx="18">
                  <c:v>5.5025389336142351E-2</c:v>
                </c:pt>
                <c:pt idx="19">
                  <c:v>5.501709009106117E-2</c:v>
                </c:pt>
                <c:pt idx="20">
                  <c:v>5.5010097837424971E-2</c:v>
                </c:pt>
                <c:pt idx="21">
                  <c:v>5.5002546546259419E-2</c:v>
                </c:pt>
                <c:pt idx="22">
                  <c:v>5.5000968333631786E-2</c:v>
                </c:pt>
                <c:pt idx="23">
                  <c:v>5.4993265316294455E-2</c:v>
                </c:pt>
                <c:pt idx="24">
                  <c:v>5.4989962064690874E-2</c:v>
                </c:pt>
                <c:pt idx="25">
                  <c:v>5.4986023028295326E-2</c:v>
                </c:pt>
                <c:pt idx="26">
                  <c:v>5.49858647774197E-2</c:v>
                </c:pt>
                <c:pt idx="27">
                  <c:v>5.4983013481647573E-2</c:v>
                </c:pt>
                <c:pt idx="28">
                  <c:v>5.4979076956960853E-2</c:v>
                </c:pt>
                <c:pt idx="29">
                  <c:v>5.4973831906526202E-2</c:v>
                </c:pt>
                <c:pt idx="30">
                  <c:v>5.4970975500038599E-2</c:v>
                </c:pt>
                <c:pt idx="31">
                  <c:v>5.4966842025610196E-2</c:v>
                </c:pt>
                <c:pt idx="32">
                  <c:v>5.4962551801897561E-2</c:v>
                </c:pt>
                <c:pt idx="33">
                  <c:v>5.4960243888421585E-2</c:v>
                </c:pt>
                <c:pt idx="34">
                  <c:v>5.4955840825264078E-2</c:v>
                </c:pt>
                <c:pt idx="35">
                  <c:v>5.495167296650854E-2</c:v>
                </c:pt>
                <c:pt idx="36">
                  <c:v>5.4950551089153928E-2</c:v>
                </c:pt>
                <c:pt idx="37">
                  <c:v>5.4947566222207374E-2</c:v>
                </c:pt>
                <c:pt idx="38">
                  <c:v>5.4944950774782432E-2</c:v>
                </c:pt>
                <c:pt idx="39">
                  <c:v>5.4944746882582107E-2</c:v>
                </c:pt>
                <c:pt idx="40">
                  <c:v>5.4942653011634736E-2</c:v>
                </c:pt>
                <c:pt idx="41">
                  <c:v>5.4943145011334016E-2</c:v>
                </c:pt>
                <c:pt idx="42">
                  <c:v>5.493871750967369E-2</c:v>
                </c:pt>
                <c:pt idx="43">
                  <c:v>5.4944514378603301E-2</c:v>
                </c:pt>
                <c:pt idx="44">
                  <c:v>5.4941405963770749E-2</c:v>
                </c:pt>
                <c:pt idx="45">
                  <c:v>5.4944366072282799E-2</c:v>
                </c:pt>
                <c:pt idx="46">
                  <c:v>5.4942771900323872E-2</c:v>
                </c:pt>
                <c:pt idx="47">
                  <c:v>5.4939281498514743E-2</c:v>
                </c:pt>
                <c:pt idx="48">
                  <c:v>5.4937738381097903E-2</c:v>
                </c:pt>
                <c:pt idx="49">
                  <c:v>5.4935017195401926E-2</c:v>
                </c:pt>
                <c:pt idx="50">
                  <c:v>5.492977424215887E-2</c:v>
                </c:pt>
                <c:pt idx="51">
                  <c:v>5.4924789710303089E-2</c:v>
                </c:pt>
                <c:pt idx="52">
                  <c:v>5.4919726860245779E-2</c:v>
                </c:pt>
                <c:pt idx="53">
                  <c:v>5.492334941887677E-2</c:v>
                </c:pt>
                <c:pt idx="54">
                  <c:v>5.4921962417815912E-2</c:v>
                </c:pt>
                <c:pt idx="55">
                  <c:v>5.4916595538903538E-2</c:v>
                </c:pt>
                <c:pt idx="56">
                  <c:v>5.4915220456347363E-2</c:v>
                </c:pt>
                <c:pt idx="57">
                  <c:v>5.4906721239098899E-2</c:v>
                </c:pt>
                <c:pt idx="58">
                  <c:v>5.4904719543940543E-2</c:v>
                </c:pt>
                <c:pt idx="59">
                  <c:v>5.4906751740274595E-2</c:v>
                </c:pt>
                <c:pt idx="60">
                  <c:v>5.4902442994535373E-2</c:v>
                </c:pt>
                <c:pt idx="61">
                  <c:v>5.4899269307499027E-2</c:v>
                </c:pt>
                <c:pt idx="62">
                  <c:v>5.4898845103575289E-2</c:v>
                </c:pt>
                <c:pt idx="63">
                  <c:v>5.4901768938282199E-2</c:v>
                </c:pt>
                <c:pt idx="64">
                  <c:v>5.4906221745996547E-2</c:v>
                </c:pt>
                <c:pt idx="65">
                  <c:v>5.4902794684512736E-2</c:v>
                </c:pt>
                <c:pt idx="66">
                  <c:v>5.4903919171844145E-2</c:v>
                </c:pt>
                <c:pt idx="67">
                  <c:v>5.4902969693919751E-2</c:v>
                </c:pt>
                <c:pt idx="68">
                  <c:v>5.490169626188475E-2</c:v>
                </c:pt>
                <c:pt idx="69">
                  <c:v>5.4897122886044654E-2</c:v>
                </c:pt>
                <c:pt idx="70">
                  <c:v>5.4893711462298864E-2</c:v>
                </c:pt>
                <c:pt idx="71">
                  <c:v>5.4885978860676581E-2</c:v>
                </c:pt>
                <c:pt idx="72">
                  <c:v>5.4886977296377225E-2</c:v>
                </c:pt>
                <c:pt idx="73">
                  <c:v>5.4884021877443755E-2</c:v>
                </c:pt>
                <c:pt idx="74">
                  <c:v>5.4883355643259198E-2</c:v>
                </c:pt>
                <c:pt idx="75">
                  <c:v>5.4884985238899286E-2</c:v>
                </c:pt>
                <c:pt idx="76">
                  <c:v>5.4888511570012774E-2</c:v>
                </c:pt>
                <c:pt idx="77">
                  <c:v>5.4889367649024863E-2</c:v>
                </c:pt>
                <c:pt idx="78">
                  <c:v>5.4887505543260981E-2</c:v>
                </c:pt>
                <c:pt idx="79">
                  <c:v>5.4885620537529059E-2</c:v>
                </c:pt>
                <c:pt idx="80">
                  <c:v>5.4888159639386057E-2</c:v>
                </c:pt>
                <c:pt idx="81">
                  <c:v>5.4890618759435045E-2</c:v>
                </c:pt>
                <c:pt idx="82">
                  <c:v>5.4897379556660138E-2</c:v>
                </c:pt>
                <c:pt idx="83">
                  <c:v>5.4896781058948171E-2</c:v>
                </c:pt>
                <c:pt idx="84">
                  <c:v>5.4893174127737872E-2</c:v>
                </c:pt>
                <c:pt idx="85">
                  <c:v>5.489224646894561E-2</c:v>
                </c:pt>
                <c:pt idx="86">
                  <c:v>5.4894422437569312E-2</c:v>
                </c:pt>
                <c:pt idx="87">
                  <c:v>5.4897769974334903E-2</c:v>
                </c:pt>
                <c:pt idx="88">
                  <c:v>5.4896242025810837E-2</c:v>
                </c:pt>
                <c:pt idx="89">
                  <c:v>5.4890261143484144E-2</c:v>
                </c:pt>
                <c:pt idx="90">
                  <c:v>5.4888286774424637E-2</c:v>
                </c:pt>
                <c:pt idx="91">
                  <c:v>5.4887466317052429E-2</c:v>
                </c:pt>
                <c:pt idx="92">
                  <c:v>5.4887280286696163E-2</c:v>
                </c:pt>
                <c:pt idx="93">
                  <c:v>5.4886190034488254E-2</c:v>
                </c:pt>
                <c:pt idx="94">
                  <c:v>5.4885069318343284E-2</c:v>
                </c:pt>
                <c:pt idx="95">
                  <c:v>5.4881444400884771E-2</c:v>
                </c:pt>
                <c:pt idx="96">
                  <c:v>5.4887237107705371E-2</c:v>
                </c:pt>
                <c:pt idx="97">
                  <c:v>5.4885762842587719E-2</c:v>
                </c:pt>
                <c:pt idx="98">
                  <c:v>5.4884696295594532E-2</c:v>
                </c:pt>
                <c:pt idx="99">
                  <c:v>5.4882733127237703E-2</c:v>
                </c:pt>
                <c:pt idx="100">
                  <c:v>5.4886662960082169E-2</c:v>
                </c:pt>
                <c:pt idx="101">
                  <c:v>5.4888282093488824E-2</c:v>
                </c:pt>
                <c:pt idx="102">
                  <c:v>5.4892397800315192E-2</c:v>
                </c:pt>
                <c:pt idx="103">
                  <c:v>5.4890335001294741E-2</c:v>
                </c:pt>
                <c:pt idx="104">
                  <c:v>5.4894155475886552E-2</c:v>
                </c:pt>
                <c:pt idx="105">
                  <c:v>5.4892052149879814E-2</c:v>
                </c:pt>
                <c:pt idx="106">
                  <c:v>5.4889935349889611E-2</c:v>
                </c:pt>
                <c:pt idx="107">
                  <c:v>5.4887499310005444E-2</c:v>
                </c:pt>
                <c:pt idx="108">
                  <c:v>5.4891850207188564E-2</c:v>
                </c:pt>
                <c:pt idx="109">
                  <c:v>5.4891583755388877E-2</c:v>
                </c:pt>
                <c:pt idx="110">
                  <c:v>5.4897700992549203E-2</c:v>
                </c:pt>
                <c:pt idx="111">
                  <c:v>5.4897964379400283E-2</c:v>
                </c:pt>
                <c:pt idx="112">
                  <c:v>5.4894723931938991E-2</c:v>
                </c:pt>
                <c:pt idx="113">
                  <c:v>5.4898049308660442E-2</c:v>
                </c:pt>
                <c:pt idx="114">
                  <c:v>5.4899241868668208E-2</c:v>
                </c:pt>
                <c:pt idx="115">
                  <c:v>5.4894004116701485E-2</c:v>
                </c:pt>
                <c:pt idx="116">
                  <c:v>5.4894999172629494E-2</c:v>
                </c:pt>
                <c:pt idx="117">
                  <c:v>5.4895122433200216E-2</c:v>
                </c:pt>
                <c:pt idx="118">
                  <c:v>5.4898599753636694E-2</c:v>
                </c:pt>
                <c:pt idx="119">
                  <c:v>5.4895560224718261E-2</c:v>
                </c:pt>
                <c:pt idx="120">
                  <c:v>5.4896534056971466E-2</c:v>
                </c:pt>
                <c:pt idx="121">
                  <c:v>5.4898078571208854E-2</c:v>
                </c:pt>
                <c:pt idx="122">
                  <c:v>5.4896730220251509E-2</c:v>
                </c:pt>
                <c:pt idx="123">
                  <c:v>5.4894212118028862E-2</c:v>
                </c:pt>
                <c:pt idx="124">
                  <c:v>5.4894803638386641E-2</c:v>
                </c:pt>
                <c:pt idx="125">
                  <c:v>5.4896115824253092E-2</c:v>
                </c:pt>
                <c:pt idx="126">
                  <c:v>5.4891400097399144E-2</c:v>
                </c:pt>
                <c:pt idx="127">
                  <c:v>5.4890021196914017E-2</c:v>
                </c:pt>
                <c:pt idx="128">
                  <c:v>5.4891564689736883E-2</c:v>
                </c:pt>
                <c:pt idx="129">
                  <c:v>5.489335761947732E-2</c:v>
                </c:pt>
                <c:pt idx="130">
                  <c:v>5.4897646477784959E-2</c:v>
                </c:pt>
                <c:pt idx="131">
                  <c:v>5.489764260604757E-2</c:v>
                </c:pt>
                <c:pt idx="132">
                  <c:v>5.4896502248295599E-2</c:v>
                </c:pt>
                <c:pt idx="133">
                  <c:v>5.4897868661917128E-2</c:v>
                </c:pt>
                <c:pt idx="134">
                  <c:v>5.4900726880123353E-2</c:v>
                </c:pt>
                <c:pt idx="135">
                  <c:v>5.4902031827173348E-2</c:v>
                </c:pt>
                <c:pt idx="136">
                  <c:v>5.4906663448243673E-2</c:v>
                </c:pt>
                <c:pt idx="137">
                  <c:v>5.4907559093837689E-2</c:v>
                </c:pt>
                <c:pt idx="138">
                  <c:v>5.490727104646171E-2</c:v>
                </c:pt>
                <c:pt idx="139">
                  <c:v>5.4903642152980381E-2</c:v>
                </c:pt>
                <c:pt idx="140">
                  <c:v>5.4904163715794929E-2</c:v>
                </c:pt>
                <c:pt idx="141">
                  <c:v>5.4903915544078488E-2</c:v>
                </c:pt>
                <c:pt idx="142">
                  <c:v>5.4906334306362915E-2</c:v>
                </c:pt>
                <c:pt idx="143">
                  <c:v>5.4905401597876047E-2</c:v>
                </c:pt>
                <c:pt idx="144">
                  <c:v>5.4903151014613051E-2</c:v>
                </c:pt>
                <c:pt idx="145">
                  <c:v>5.490405342529453E-2</c:v>
                </c:pt>
                <c:pt idx="146">
                  <c:v>5.4898866238501355E-2</c:v>
                </c:pt>
                <c:pt idx="147">
                  <c:v>5.4900091474458866E-2</c:v>
                </c:pt>
                <c:pt idx="148">
                  <c:v>5.4905220869890317E-2</c:v>
                </c:pt>
                <c:pt idx="149">
                  <c:v>5.4904803181720689E-2</c:v>
                </c:pt>
                <c:pt idx="150">
                  <c:v>5.4906984240278206E-2</c:v>
                </c:pt>
                <c:pt idx="151">
                  <c:v>5.4905169436297939E-2</c:v>
                </c:pt>
                <c:pt idx="152">
                  <c:v>5.489991642090114E-2</c:v>
                </c:pt>
                <c:pt idx="153">
                  <c:v>5.4900054703737031E-2</c:v>
                </c:pt>
                <c:pt idx="154">
                  <c:v>5.4899059475265639E-2</c:v>
                </c:pt>
                <c:pt idx="155">
                  <c:v>5.4899226726796625E-2</c:v>
                </c:pt>
                <c:pt idx="156">
                  <c:v>5.4897510513193824E-2</c:v>
                </c:pt>
                <c:pt idx="157">
                  <c:v>5.4898087949943546E-2</c:v>
                </c:pt>
                <c:pt idx="158">
                  <c:v>5.4893138378828879E-2</c:v>
                </c:pt>
                <c:pt idx="159">
                  <c:v>5.4894696055465812E-2</c:v>
                </c:pt>
                <c:pt idx="160">
                  <c:v>5.4898300200907607E-2</c:v>
                </c:pt>
                <c:pt idx="161">
                  <c:v>5.4893741785381582E-2</c:v>
                </c:pt>
                <c:pt idx="162">
                  <c:v>5.4895622380378671E-2</c:v>
                </c:pt>
                <c:pt idx="163">
                  <c:v>5.4894718349833956E-2</c:v>
                </c:pt>
                <c:pt idx="164">
                  <c:v>5.489498581778747E-2</c:v>
                </c:pt>
                <c:pt idx="165">
                  <c:v>5.4893884686556337E-2</c:v>
                </c:pt>
                <c:pt idx="166">
                  <c:v>5.4895817082988685E-2</c:v>
                </c:pt>
                <c:pt idx="167">
                  <c:v>5.4899664977441531E-2</c:v>
                </c:pt>
                <c:pt idx="168">
                  <c:v>5.4904459519111715E-2</c:v>
                </c:pt>
                <c:pt idx="169">
                  <c:v>5.4900995423929767E-2</c:v>
                </c:pt>
                <c:pt idx="170">
                  <c:v>5.4903072076648657E-2</c:v>
                </c:pt>
                <c:pt idx="171">
                  <c:v>5.4903446049010866E-2</c:v>
                </c:pt>
                <c:pt idx="172">
                  <c:v>5.489972430670878E-2</c:v>
                </c:pt>
                <c:pt idx="173">
                  <c:v>5.4896856700543069E-2</c:v>
                </c:pt>
                <c:pt idx="174">
                  <c:v>5.489817781445161E-2</c:v>
                </c:pt>
                <c:pt idx="175">
                  <c:v>5.489630502564681E-2</c:v>
                </c:pt>
                <c:pt idx="176">
                  <c:v>5.4894433362179619E-2</c:v>
                </c:pt>
                <c:pt idx="177">
                  <c:v>5.48980842614262E-2</c:v>
                </c:pt>
                <c:pt idx="178">
                  <c:v>5.4895867155802615E-2</c:v>
                </c:pt>
                <c:pt idx="179">
                  <c:v>5.4895076268123733E-2</c:v>
                </c:pt>
                <c:pt idx="180">
                  <c:v>5.4891778666417333E-2</c:v>
                </c:pt>
                <c:pt idx="181">
                  <c:v>5.4890529518361542E-2</c:v>
                </c:pt>
                <c:pt idx="182">
                  <c:v>5.4890940963335369E-2</c:v>
                </c:pt>
                <c:pt idx="183">
                  <c:v>5.4887036355611186E-2</c:v>
                </c:pt>
                <c:pt idx="184">
                  <c:v>5.4887858216457107E-2</c:v>
                </c:pt>
                <c:pt idx="185">
                  <c:v>5.4888407078242572E-2</c:v>
                </c:pt>
                <c:pt idx="186">
                  <c:v>5.4888888246571552E-2</c:v>
                </c:pt>
                <c:pt idx="187">
                  <c:v>5.4893186964749041E-2</c:v>
                </c:pt>
                <c:pt idx="188">
                  <c:v>5.4898854866234435E-2</c:v>
                </c:pt>
                <c:pt idx="189">
                  <c:v>5.4894291957784738E-2</c:v>
                </c:pt>
                <c:pt idx="190">
                  <c:v>5.4889877083190701E-2</c:v>
                </c:pt>
                <c:pt idx="191">
                  <c:v>5.4890979321525486E-2</c:v>
                </c:pt>
                <c:pt idx="192">
                  <c:v>5.4887247309044401E-2</c:v>
                </c:pt>
                <c:pt idx="193">
                  <c:v>5.4883722491255921E-2</c:v>
                </c:pt>
                <c:pt idx="194">
                  <c:v>5.4884488567826836E-2</c:v>
                </c:pt>
                <c:pt idx="195">
                  <c:v>5.4887364323485698E-2</c:v>
                </c:pt>
                <c:pt idx="196">
                  <c:v>5.4889638544735893E-2</c:v>
                </c:pt>
                <c:pt idx="197">
                  <c:v>5.4889326651218651E-2</c:v>
                </c:pt>
                <c:pt idx="198">
                  <c:v>5.4887957006076842E-2</c:v>
                </c:pt>
                <c:pt idx="199">
                  <c:v>5.4887098062261004E-2</c:v>
                </c:pt>
                <c:pt idx="200">
                  <c:v>5.4887505442931687E-2</c:v>
                </c:pt>
                <c:pt idx="201">
                  <c:v>5.4887040767243767E-2</c:v>
                </c:pt>
                <c:pt idx="202">
                  <c:v>5.488568607182237E-2</c:v>
                </c:pt>
                <c:pt idx="203">
                  <c:v>5.4888702397315962E-2</c:v>
                </c:pt>
                <c:pt idx="204">
                  <c:v>5.4886728783820116E-2</c:v>
                </c:pt>
                <c:pt idx="205">
                  <c:v>5.4888556729197978E-2</c:v>
                </c:pt>
                <c:pt idx="206">
                  <c:v>5.4889524367325936E-2</c:v>
                </c:pt>
                <c:pt idx="207">
                  <c:v>5.4889586589889031E-2</c:v>
                </c:pt>
                <c:pt idx="208">
                  <c:v>5.4888519545306311E-2</c:v>
                </c:pt>
                <c:pt idx="209">
                  <c:v>5.4888267752144324E-2</c:v>
                </c:pt>
                <c:pt idx="210">
                  <c:v>5.4891176848989469E-2</c:v>
                </c:pt>
                <c:pt idx="211">
                  <c:v>5.4889364704779939E-2</c:v>
                </c:pt>
                <c:pt idx="212">
                  <c:v>5.4889021647051624E-2</c:v>
                </c:pt>
                <c:pt idx="213">
                  <c:v>5.4891560657932388E-2</c:v>
                </c:pt>
                <c:pt idx="214">
                  <c:v>5.4891864414604224E-2</c:v>
                </c:pt>
                <c:pt idx="215">
                  <c:v>5.4888871798370445E-2</c:v>
                </c:pt>
                <c:pt idx="216">
                  <c:v>5.4889114763295013E-2</c:v>
                </c:pt>
                <c:pt idx="217">
                  <c:v>5.4889116218167423E-2</c:v>
                </c:pt>
                <c:pt idx="218">
                  <c:v>5.4887293858345371E-2</c:v>
                </c:pt>
                <c:pt idx="219">
                  <c:v>5.4886617000227948E-2</c:v>
                </c:pt>
                <c:pt idx="220">
                  <c:v>5.4890930908254212E-2</c:v>
                </c:pt>
                <c:pt idx="221">
                  <c:v>5.4888295400676336E-2</c:v>
                </c:pt>
                <c:pt idx="222">
                  <c:v>5.4892648597655448E-2</c:v>
                </c:pt>
                <c:pt idx="223">
                  <c:v>5.488972590337577E-2</c:v>
                </c:pt>
                <c:pt idx="224">
                  <c:v>5.4893364409078792E-2</c:v>
                </c:pt>
                <c:pt idx="225">
                  <c:v>5.489028052989945E-2</c:v>
                </c:pt>
                <c:pt idx="226">
                  <c:v>5.4895059599999518E-2</c:v>
                </c:pt>
                <c:pt idx="227">
                  <c:v>5.4893199243264079E-2</c:v>
                </c:pt>
                <c:pt idx="228">
                  <c:v>5.4895116630198179E-2</c:v>
                </c:pt>
                <c:pt idx="229">
                  <c:v>5.4896009074956273E-2</c:v>
                </c:pt>
                <c:pt idx="230">
                  <c:v>5.4896876726718988E-2</c:v>
                </c:pt>
                <c:pt idx="231">
                  <c:v>5.4896321662945648E-2</c:v>
                </c:pt>
                <c:pt idx="232">
                  <c:v>5.4894635866569647E-2</c:v>
                </c:pt>
                <c:pt idx="233">
                  <c:v>5.4895910696040752E-2</c:v>
                </c:pt>
                <c:pt idx="234">
                  <c:v>5.4893702389902828E-2</c:v>
                </c:pt>
                <c:pt idx="235">
                  <c:v>5.4887475285737279E-2</c:v>
                </c:pt>
                <c:pt idx="236">
                  <c:v>5.4883642192440948E-2</c:v>
                </c:pt>
                <c:pt idx="237">
                  <c:v>5.4885614368425088E-2</c:v>
                </c:pt>
                <c:pt idx="238">
                  <c:v>5.4887386728313815E-2</c:v>
                </c:pt>
                <c:pt idx="239">
                  <c:v>5.4889638801349575E-2</c:v>
                </c:pt>
                <c:pt idx="240">
                  <c:v>5.4884193106522511E-2</c:v>
                </c:pt>
                <c:pt idx="241">
                  <c:v>5.4882833773838111E-2</c:v>
                </c:pt>
                <c:pt idx="242">
                  <c:v>5.4879053214046694E-2</c:v>
                </c:pt>
                <c:pt idx="243">
                  <c:v>5.4879604667130412E-2</c:v>
                </c:pt>
                <c:pt idx="244">
                  <c:v>5.4879956377817674E-2</c:v>
                </c:pt>
                <c:pt idx="245">
                  <c:v>5.4881339599401585E-2</c:v>
                </c:pt>
                <c:pt idx="246">
                  <c:v>5.4884857136183636E-2</c:v>
                </c:pt>
                <c:pt idx="247">
                  <c:v>5.4884566194047482E-2</c:v>
                </c:pt>
                <c:pt idx="248">
                  <c:v>5.4884793021113439E-2</c:v>
                </c:pt>
                <c:pt idx="249">
                  <c:v>5.4884860374064287E-2</c:v>
                </c:pt>
                <c:pt idx="250">
                  <c:v>5.4882741829134232E-2</c:v>
                </c:pt>
                <c:pt idx="251">
                  <c:v>5.4884058171452005E-2</c:v>
                </c:pt>
                <c:pt idx="252">
                  <c:v>5.4883668083392359E-2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67-7047-819B-9D9AB1F9F283}"/>
            </c:ext>
          </c:extLst>
        </c:ser>
        <c:ser>
          <c:idx val="7"/>
          <c:order val="7"/>
          <c:tx>
            <c:strRef>
              <c:f>'CIR Simulation (MLE)'!$L$1</c:f>
              <c:strCache>
                <c:ptCount val="1"/>
                <c:pt idx="0">
                  <c:v>Sims 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(MLE)'!$L$2:$L$254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5.5181080459399651E-2</c:v>
                </c:pt>
                <c:pt idx="2">
                  <c:v>5.5167108341483626E-2</c:v>
                </c:pt>
                <c:pt idx="3">
                  <c:v>5.5152712893891363E-2</c:v>
                </c:pt>
                <c:pt idx="4">
                  <c:v>5.5139379652544805E-2</c:v>
                </c:pt>
                <c:pt idx="5">
                  <c:v>5.5127479869562401E-2</c:v>
                </c:pt>
                <c:pt idx="6">
                  <c:v>5.5115858052607006E-2</c:v>
                </c:pt>
                <c:pt idx="7">
                  <c:v>5.5105889691279331E-2</c:v>
                </c:pt>
                <c:pt idx="8">
                  <c:v>5.5098423950916652E-2</c:v>
                </c:pt>
                <c:pt idx="9">
                  <c:v>5.5084907720821454E-2</c:v>
                </c:pt>
                <c:pt idx="10">
                  <c:v>5.5076066065354271E-2</c:v>
                </c:pt>
                <c:pt idx="11">
                  <c:v>5.5073594396407771E-2</c:v>
                </c:pt>
                <c:pt idx="12">
                  <c:v>5.5068477197978721E-2</c:v>
                </c:pt>
                <c:pt idx="13">
                  <c:v>5.506057892849444E-2</c:v>
                </c:pt>
                <c:pt idx="14">
                  <c:v>5.5054971669395276E-2</c:v>
                </c:pt>
                <c:pt idx="15">
                  <c:v>5.5044686580962406E-2</c:v>
                </c:pt>
                <c:pt idx="16">
                  <c:v>5.503585969858691E-2</c:v>
                </c:pt>
                <c:pt idx="17">
                  <c:v>5.5030253900885631E-2</c:v>
                </c:pt>
                <c:pt idx="18">
                  <c:v>5.5024678637199585E-2</c:v>
                </c:pt>
                <c:pt idx="19">
                  <c:v>5.5019753918012511E-2</c:v>
                </c:pt>
                <c:pt idx="20">
                  <c:v>5.5013371174135149E-2</c:v>
                </c:pt>
                <c:pt idx="21">
                  <c:v>5.5007326110362818E-2</c:v>
                </c:pt>
                <c:pt idx="22">
                  <c:v>5.5006687810675657E-2</c:v>
                </c:pt>
                <c:pt idx="23">
                  <c:v>5.50034338312516E-2</c:v>
                </c:pt>
                <c:pt idx="24">
                  <c:v>5.5003259765545993E-2</c:v>
                </c:pt>
                <c:pt idx="25">
                  <c:v>5.4997493781796462E-2</c:v>
                </c:pt>
                <c:pt idx="26">
                  <c:v>5.499370208296904E-2</c:v>
                </c:pt>
                <c:pt idx="27">
                  <c:v>5.4989511183300428E-2</c:v>
                </c:pt>
                <c:pt idx="28">
                  <c:v>5.4985609305104113E-2</c:v>
                </c:pt>
                <c:pt idx="29">
                  <c:v>5.498228255787637E-2</c:v>
                </c:pt>
                <c:pt idx="30">
                  <c:v>5.4983475657071089E-2</c:v>
                </c:pt>
                <c:pt idx="31">
                  <c:v>5.4981471069017497E-2</c:v>
                </c:pt>
                <c:pt idx="32">
                  <c:v>5.4978419398183501E-2</c:v>
                </c:pt>
                <c:pt idx="33">
                  <c:v>5.4975573088963142E-2</c:v>
                </c:pt>
                <c:pt idx="34">
                  <c:v>5.4969604731447533E-2</c:v>
                </c:pt>
                <c:pt idx="35">
                  <c:v>5.4966954385441642E-2</c:v>
                </c:pt>
                <c:pt idx="36">
                  <c:v>5.496789095996657E-2</c:v>
                </c:pt>
                <c:pt idx="37">
                  <c:v>5.4964888443934601E-2</c:v>
                </c:pt>
                <c:pt idx="38">
                  <c:v>5.4962236928470673E-2</c:v>
                </c:pt>
                <c:pt idx="39">
                  <c:v>5.4962153339099151E-2</c:v>
                </c:pt>
                <c:pt idx="40">
                  <c:v>5.4960757631730459E-2</c:v>
                </c:pt>
                <c:pt idx="41">
                  <c:v>5.495542355762844E-2</c:v>
                </c:pt>
                <c:pt idx="42">
                  <c:v>5.4950698416825886E-2</c:v>
                </c:pt>
                <c:pt idx="43">
                  <c:v>5.4947045369450671E-2</c:v>
                </c:pt>
                <c:pt idx="44">
                  <c:v>5.4949199046162897E-2</c:v>
                </c:pt>
                <c:pt idx="45">
                  <c:v>5.4950710485988222E-2</c:v>
                </c:pt>
                <c:pt idx="46">
                  <c:v>5.4948332288361365E-2</c:v>
                </c:pt>
                <c:pt idx="47">
                  <c:v>5.4946679673945349E-2</c:v>
                </c:pt>
                <c:pt idx="48">
                  <c:v>5.4949890025757821E-2</c:v>
                </c:pt>
                <c:pt idx="49">
                  <c:v>5.4945610050431304E-2</c:v>
                </c:pt>
                <c:pt idx="50">
                  <c:v>5.494385445949812E-2</c:v>
                </c:pt>
                <c:pt idx="51">
                  <c:v>5.4944990167896418E-2</c:v>
                </c:pt>
                <c:pt idx="52">
                  <c:v>5.4944390662796334E-2</c:v>
                </c:pt>
                <c:pt idx="53">
                  <c:v>5.4942365514199995E-2</c:v>
                </c:pt>
                <c:pt idx="54">
                  <c:v>5.4939360710151562E-2</c:v>
                </c:pt>
                <c:pt idx="55">
                  <c:v>5.4937463731767604E-2</c:v>
                </c:pt>
                <c:pt idx="56">
                  <c:v>5.4936349767675932E-2</c:v>
                </c:pt>
                <c:pt idx="57">
                  <c:v>5.493085574078773E-2</c:v>
                </c:pt>
                <c:pt idx="58">
                  <c:v>5.4929429860963892E-2</c:v>
                </c:pt>
                <c:pt idx="59">
                  <c:v>5.493100195209949E-2</c:v>
                </c:pt>
                <c:pt idx="60">
                  <c:v>5.4926488683296831E-2</c:v>
                </c:pt>
                <c:pt idx="61">
                  <c:v>5.4928327738150047E-2</c:v>
                </c:pt>
                <c:pt idx="62">
                  <c:v>5.4925727497411092E-2</c:v>
                </c:pt>
                <c:pt idx="63">
                  <c:v>5.4921296648207274E-2</c:v>
                </c:pt>
                <c:pt idx="64">
                  <c:v>5.4915584824733132E-2</c:v>
                </c:pt>
                <c:pt idx="65">
                  <c:v>5.4912131217281807E-2</c:v>
                </c:pt>
                <c:pt idx="66">
                  <c:v>5.4907579192138241E-2</c:v>
                </c:pt>
                <c:pt idx="67">
                  <c:v>5.4907264397556631E-2</c:v>
                </c:pt>
                <c:pt idx="68">
                  <c:v>5.4909394172015229E-2</c:v>
                </c:pt>
                <c:pt idx="69">
                  <c:v>5.4908929318708895E-2</c:v>
                </c:pt>
                <c:pt idx="70">
                  <c:v>5.4905731985987909E-2</c:v>
                </c:pt>
                <c:pt idx="71">
                  <c:v>5.4905333259434128E-2</c:v>
                </c:pt>
                <c:pt idx="72">
                  <c:v>5.490051784600973E-2</c:v>
                </c:pt>
                <c:pt idx="73">
                  <c:v>5.4901780966339582E-2</c:v>
                </c:pt>
                <c:pt idx="74">
                  <c:v>5.4902140671892488E-2</c:v>
                </c:pt>
                <c:pt idx="75">
                  <c:v>5.4902187896340646E-2</c:v>
                </c:pt>
                <c:pt idx="76">
                  <c:v>5.4901617854062931E-2</c:v>
                </c:pt>
                <c:pt idx="77">
                  <c:v>5.4905667839820697E-2</c:v>
                </c:pt>
                <c:pt idx="78">
                  <c:v>5.4903120542819199E-2</c:v>
                </c:pt>
                <c:pt idx="79">
                  <c:v>5.4900243796318547E-2</c:v>
                </c:pt>
                <c:pt idx="80">
                  <c:v>5.4899106978840206E-2</c:v>
                </c:pt>
                <c:pt idx="81">
                  <c:v>5.4898748981772084E-2</c:v>
                </c:pt>
                <c:pt idx="82">
                  <c:v>5.4899769767591498E-2</c:v>
                </c:pt>
                <c:pt idx="83">
                  <c:v>5.4901517481605482E-2</c:v>
                </c:pt>
                <c:pt idx="84">
                  <c:v>5.4902357467283516E-2</c:v>
                </c:pt>
                <c:pt idx="85">
                  <c:v>5.4905198265346046E-2</c:v>
                </c:pt>
                <c:pt idx="86">
                  <c:v>5.490353391605611E-2</c:v>
                </c:pt>
                <c:pt idx="87">
                  <c:v>5.4898104894562164E-2</c:v>
                </c:pt>
                <c:pt idx="88">
                  <c:v>5.4900911805452327E-2</c:v>
                </c:pt>
                <c:pt idx="89">
                  <c:v>5.4900739003206342E-2</c:v>
                </c:pt>
                <c:pt idx="90">
                  <c:v>5.4900715128420555E-2</c:v>
                </c:pt>
                <c:pt idx="91">
                  <c:v>5.4899750980837832E-2</c:v>
                </c:pt>
                <c:pt idx="92">
                  <c:v>5.4895703128997726E-2</c:v>
                </c:pt>
                <c:pt idx="93">
                  <c:v>5.4894216983067748E-2</c:v>
                </c:pt>
                <c:pt idx="94">
                  <c:v>5.4894185010942606E-2</c:v>
                </c:pt>
                <c:pt idx="95">
                  <c:v>5.4895081633177099E-2</c:v>
                </c:pt>
                <c:pt idx="96">
                  <c:v>5.4890874533585689E-2</c:v>
                </c:pt>
                <c:pt idx="97">
                  <c:v>5.48904756126877E-2</c:v>
                </c:pt>
                <c:pt idx="98">
                  <c:v>5.4890444057055024E-2</c:v>
                </c:pt>
                <c:pt idx="99">
                  <c:v>5.4890964499178067E-2</c:v>
                </c:pt>
                <c:pt idx="100">
                  <c:v>5.488992181089572E-2</c:v>
                </c:pt>
                <c:pt idx="101">
                  <c:v>5.4888549970658645E-2</c:v>
                </c:pt>
                <c:pt idx="102">
                  <c:v>5.4890988730093883E-2</c:v>
                </c:pt>
                <c:pt idx="103">
                  <c:v>5.4892527362231366E-2</c:v>
                </c:pt>
                <c:pt idx="104">
                  <c:v>5.489294888674115E-2</c:v>
                </c:pt>
                <c:pt idx="105">
                  <c:v>5.4891907374010569E-2</c:v>
                </c:pt>
                <c:pt idx="106">
                  <c:v>5.4889715899530039E-2</c:v>
                </c:pt>
                <c:pt idx="107">
                  <c:v>5.4889781644675013E-2</c:v>
                </c:pt>
                <c:pt idx="108">
                  <c:v>5.4889629101569325E-2</c:v>
                </c:pt>
                <c:pt idx="109">
                  <c:v>5.4890574878192558E-2</c:v>
                </c:pt>
                <c:pt idx="110">
                  <c:v>5.4891691120753615E-2</c:v>
                </c:pt>
                <c:pt idx="111">
                  <c:v>5.4892179459933001E-2</c:v>
                </c:pt>
                <c:pt idx="112">
                  <c:v>5.489232102216212E-2</c:v>
                </c:pt>
                <c:pt idx="113">
                  <c:v>5.4893112766802345E-2</c:v>
                </c:pt>
                <c:pt idx="114">
                  <c:v>5.4892017819832252E-2</c:v>
                </c:pt>
                <c:pt idx="115">
                  <c:v>5.4889020514162834E-2</c:v>
                </c:pt>
                <c:pt idx="116">
                  <c:v>5.4887531616345908E-2</c:v>
                </c:pt>
                <c:pt idx="117">
                  <c:v>5.4891081024225477E-2</c:v>
                </c:pt>
                <c:pt idx="118">
                  <c:v>5.4893815073335683E-2</c:v>
                </c:pt>
                <c:pt idx="119">
                  <c:v>5.4895962555515807E-2</c:v>
                </c:pt>
                <c:pt idx="120">
                  <c:v>5.489212752681117E-2</c:v>
                </c:pt>
                <c:pt idx="121">
                  <c:v>5.4894088106877841E-2</c:v>
                </c:pt>
                <c:pt idx="122">
                  <c:v>5.4892245303164361E-2</c:v>
                </c:pt>
                <c:pt idx="123">
                  <c:v>5.4893865601661797E-2</c:v>
                </c:pt>
                <c:pt idx="124">
                  <c:v>5.4896041696986045E-2</c:v>
                </c:pt>
                <c:pt idx="125">
                  <c:v>5.4898211111294094E-2</c:v>
                </c:pt>
                <c:pt idx="126">
                  <c:v>5.4898294771599826E-2</c:v>
                </c:pt>
                <c:pt idx="127">
                  <c:v>5.4895650441604847E-2</c:v>
                </c:pt>
                <c:pt idx="128">
                  <c:v>5.4895451224689647E-2</c:v>
                </c:pt>
                <c:pt idx="129">
                  <c:v>5.4893482745053977E-2</c:v>
                </c:pt>
                <c:pt idx="130">
                  <c:v>5.4890754204838445E-2</c:v>
                </c:pt>
                <c:pt idx="131">
                  <c:v>5.4893171718733307E-2</c:v>
                </c:pt>
                <c:pt idx="132">
                  <c:v>5.4893764734970887E-2</c:v>
                </c:pt>
                <c:pt idx="133">
                  <c:v>5.4889192448288375E-2</c:v>
                </c:pt>
                <c:pt idx="134">
                  <c:v>5.4891214891822138E-2</c:v>
                </c:pt>
                <c:pt idx="135">
                  <c:v>5.4892511872431E-2</c:v>
                </c:pt>
                <c:pt idx="136">
                  <c:v>5.4896475743584167E-2</c:v>
                </c:pt>
                <c:pt idx="137">
                  <c:v>5.4898264229659446E-2</c:v>
                </c:pt>
                <c:pt idx="138">
                  <c:v>5.4897447745823912E-2</c:v>
                </c:pt>
                <c:pt idx="139">
                  <c:v>5.4895798449927487E-2</c:v>
                </c:pt>
                <c:pt idx="140">
                  <c:v>5.4897224919720079E-2</c:v>
                </c:pt>
                <c:pt idx="141">
                  <c:v>5.4899395889679507E-2</c:v>
                </c:pt>
                <c:pt idx="142">
                  <c:v>5.4905813107025518E-2</c:v>
                </c:pt>
                <c:pt idx="143">
                  <c:v>5.4905640340380153E-2</c:v>
                </c:pt>
                <c:pt idx="144">
                  <c:v>5.490754657811265E-2</c:v>
                </c:pt>
                <c:pt idx="145">
                  <c:v>5.4904208839771033E-2</c:v>
                </c:pt>
                <c:pt idx="146">
                  <c:v>5.4904683638737455E-2</c:v>
                </c:pt>
                <c:pt idx="147">
                  <c:v>5.4905190613295005E-2</c:v>
                </c:pt>
                <c:pt idx="148">
                  <c:v>5.4902469217330392E-2</c:v>
                </c:pt>
                <c:pt idx="149">
                  <c:v>5.490283495696123E-2</c:v>
                </c:pt>
                <c:pt idx="150">
                  <c:v>5.4903798204459522E-2</c:v>
                </c:pt>
                <c:pt idx="151">
                  <c:v>5.4904590632745887E-2</c:v>
                </c:pt>
                <c:pt idx="152">
                  <c:v>5.4908055325544755E-2</c:v>
                </c:pt>
                <c:pt idx="153">
                  <c:v>5.4909404822779333E-2</c:v>
                </c:pt>
                <c:pt idx="154">
                  <c:v>5.4910453979244725E-2</c:v>
                </c:pt>
                <c:pt idx="155">
                  <c:v>5.4909893586472788E-2</c:v>
                </c:pt>
                <c:pt idx="156">
                  <c:v>5.491186929247837E-2</c:v>
                </c:pt>
                <c:pt idx="157">
                  <c:v>5.4909561776804824E-2</c:v>
                </c:pt>
                <c:pt idx="158">
                  <c:v>5.490957811155546E-2</c:v>
                </c:pt>
                <c:pt idx="159">
                  <c:v>5.4907154353804784E-2</c:v>
                </c:pt>
                <c:pt idx="160">
                  <c:v>5.4910425123090773E-2</c:v>
                </c:pt>
                <c:pt idx="161">
                  <c:v>5.4903695109810441E-2</c:v>
                </c:pt>
                <c:pt idx="162">
                  <c:v>5.4906387567674499E-2</c:v>
                </c:pt>
                <c:pt idx="163">
                  <c:v>5.4904925916454926E-2</c:v>
                </c:pt>
                <c:pt idx="164">
                  <c:v>5.4904761578890092E-2</c:v>
                </c:pt>
                <c:pt idx="165">
                  <c:v>5.4902792361782887E-2</c:v>
                </c:pt>
                <c:pt idx="166">
                  <c:v>5.4902334953627695E-2</c:v>
                </c:pt>
                <c:pt idx="167">
                  <c:v>5.4903646803492474E-2</c:v>
                </c:pt>
                <c:pt idx="168">
                  <c:v>5.4903483484226155E-2</c:v>
                </c:pt>
                <c:pt idx="169">
                  <c:v>5.4896730063311666E-2</c:v>
                </c:pt>
                <c:pt idx="170">
                  <c:v>5.4897399356457585E-2</c:v>
                </c:pt>
                <c:pt idx="171">
                  <c:v>5.4894992023246013E-2</c:v>
                </c:pt>
                <c:pt idx="172">
                  <c:v>5.4897562473624158E-2</c:v>
                </c:pt>
                <c:pt idx="173">
                  <c:v>5.4900452999242115E-2</c:v>
                </c:pt>
                <c:pt idx="174">
                  <c:v>5.4897728458774407E-2</c:v>
                </c:pt>
                <c:pt idx="175">
                  <c:v>5.4893108200159101E-2</c:v>
                </c:pt>
                <c:pt idx="176">
                  <c:v>5.4893467425183223E-2</c:v>
                </c:pt>
                <c:pt idx="177">
                  <c:v>5.4898669336740855E-2</c:v>
                </c:pt>
                <c:pt idx="178">
                  <c:v>5.490172277544756E-2</c:v>
                </c:pt>
                <c:pt idx="179">
                  <c:v>5.4903594072644855E-2</c:v>
                </c:pt>
                <c:pt idx="180">
                  <c:v>5.4904701300320803E-2</c:v>
                </c:pt>
                <c:pt idx="181">
                  <c:v>5.4899026175784446E-2</c:v>
                </c:pt>
                <c:pt idx="182">
                  <c:v>5.4902694103053221E-2</c:v>
                </c:pt>
                <c:pt idx="183">
                  <c:v>5.4904011395527669E-2</c:v>
                </c:pt>
                <c:pt idx="184">
                  <c:v>5.4903686062780545E-2</c:v>
                </c:pt>
                <c:pt idx="185">
                  <c:v>5.4902144413022484E-2</c:v>
                </c:pt>
                <c:pt idx="186">
                  <c:v>5.490401783463391E-2</c:v>
                </c:pt>
                <c:pt idx="187">
                  <c:v>5.4908326327494983E-2</c:v>
                </c:pt>
                <c:pt idx="188">
                  <c:v>5.4907674229536761E-2</c:v>
                </c:pt>
                <c:pt idx="189">
                  <c:v>5.4906094425883165E-2</c:v>
                </c:pt>
                <c:pt idx="190">
                  <c:v>5.4901974729670407E-2</c:v>
                </c:pt>
                <c:pt idx="191">
                  <c:v>5.4900593387323234E-2</c:v>
                </c:pt>
                <c:pt idx="192">
                  <c:v>5.4899080823117737E-2</c:v>
                </c:pt>
                <c:pt idx="193">
                  <c:v>5.4897425117400214E-2</c:v>
                </c:pt>
                <c:pt idx="194">
                  <c:v>5.4894449868973828E-2</c:v>
                </c:pt>
                <c:pt idx="195">
                  <c:v>5.4900078063610913E-2</c:v>
                </c:pt>
                <c:pt idx="196">
                  <c:v>5.4901833459639858E-2</c:v>
                </c:pt>
                <c:pt idx="197">
                  <c:v>5.4904215621650113E-2</c:v>
                </c:pt>
                <c:pt idx="198">
                  <c:v>5.4903413483822973E-2</c:v>
                </c:pt>
                <c:pt idx="199">
                  <c:v>5.4906957771798236E-2</c:v>
                </c:pt>
                <c:pt idx="200">
                  <c:v>5.4908899966376497E-2</c:v>
                </c:pt>
                <c:pt idx="201">
                  <c:v>5.4906717783657778E-2</c:v>
                </c:pt>
                <c:pt idx="202">
                  <c:v>5.4903322935090391E-2</c:v>
                </c:pt>
                <c:pt idx="203">
                  <c:v>5.490327321069037E-2</c:v>
                </c:pt>
                <c:pt idx="204">
                  <c:v>5.4902677666269009E-2</c:v>
                </c:pt>
                <c:pt idx="205">
                  <c:v>5.4901114254639227E-2</c:v>
                </c:pt>
                <c:pt idx="206">
                  <c:v>5.489742416014274E-2</c:v>
                </c:pt>
                <c:pt idx="207">
                  <c:v>5.4897643247350941E-2</c:v>
                </c:pt>
                <c:pt idx="208">
                  <c:v>5.4899376250008035E-2</c:v>
                </c:pt>
                <c:pt idx="209">
                  <c:v>5.4894665586784672E-2</c:v>
                </c:pt>
                <c:pt idx="210">
                  <c:v>5.4901031408164255E-2</c:v>
                </c:pt>
                <c:pt idx="211">
                  <c:v>5.4900851119443692E-2</c:v>
                </c:pt>
                <c:pt idx="212">
                  <c:v>5.4898428612352702E-2</c:v>
                </c:pt>
                <c:pt idx="213">
                  <c:v>5.4895103434475845E-2</c:v>
                </c:pt>
                <c:pt idx="214">
                  <c:v>5.4897246044429214E-2</c:v>
                </c:pt>
                <c:pt idx="215">
                  <c:v>5.4894206441810291E-2</c:v>
                </c:pt>
                <c:pt idx="216">
                  <c:v>5.4893725859290407E-2</c:v>
                </c:pt>
                <c:pt idx="217">
                  <c:v>5.4893782060506935E-2</c:v>
                </c:pt>
                <c:pt idx="218">
                  <c:v>5.4894114697768538E-2</c:v>
                </c:pt>
                <c:pt idx="219">
                  <c:v>5.4888353013217123E-2</c:v>
                </c:pt>
                <c:pt idx="220">
                  <c:v>5.4894609676420104E-2</c:v>
                </c:pt>
                <c:pt idx="221">
                  <c:v>5.489008752995396E-2</c:v>
                </c:pt>
                <c:pt idx="222">
                  <c:v>5.4888049014901769E-2</c:v>
                </c:pt>
                <c:pt idx="223">
                  <c:v>5.4890574539087557E-2</c:v>
                </c:pt>
                <c:pt idx="224">
                  <c:v>5.4889621529532986E-2</c:v>
                </c:pt>
                <c:pt idx="225">
                  <c:v>5.4886329014518127E-2</c:v>
                </c:pt>
                <c:pt idx="226">
                  <c:v>5.4882075532760748E-2</c:v>
                </c:pt>
                <c:pt idx="227">
                  <c:v>5.4883351799273727E-2</c:v>
                </c:pt>
                <c:pt idx="228">
                  <c:v>5.4886774352569834E-2</c:v>
                </c:pt>
                <c:pt idx="229">
                  <c:v>5.4885749219712753E-2</c:v>
                </c:pt>
                <c:pt idx="230">
                  <c:v>5.4883661968931699E-2</c:v>
                </c:pt>
                <c:pt idx="231">
                  <c:v>5.4884412826105212E-2</c:v>
                </c:pt>
                <c:pt idx="232">
                  <c:v>5.4889243493490461E-2</c:v>
                </c:pt>
                <c:pt idx="233">
                  <c:v>5.4893365078307742E-2</c:v>
                </c:pt>
                <c:pt idx="234">
                  <c:v>5.4894302529865942E-2</c:v>
                </c:pt>
                <c:pt idx="235">
                  <c:v>5.4894791531298739E-2</c:v>
                </c:pt>
                <c:pt idx="236">
                  <c:v>5.4896893486795217E-2</c:v>
                </c:pt>
                <c:pt idx="237">
                  <c:v>5.48984573225237E-2</c:v>
                </c:pt>
                <c:pt idx="238">
                  <c:v>5.4902579491162035E-2</c:v>
                </c:pt>
                <c:pt idx="239">
                  <c:v>5.4901575902529032E-2</c:v>
                </c:pt>
                <c:pt idx="240">
                  <c:v>5.4900793565178838E-2</c:v>
                </c:pt>
                <c:pt idx="241">
                  <c:v>5.4903320201739804E-2</c:v>
                </c:pt>
                <c:pt idx="242">
                  <c:v>5.4900322475514969E-2</c:v>
                </c:pt>
                <c:pt idx="243">
                  <c:v>5.4899360154047193E-2</c:v>
                </c:pt>
                <c:pt idx="244">
                  <c:v>5.4899784828009023E-2</c:v>
                </c:pt>
                <c:pt idx="245">
                  <c:v>5.4902391985068189E-2</c:v>
                </c:pt>
                <c:pt idx="246">
                  <c:v>5.4901888608172904E-2</c:v>
                </c:pt>
                <c:pt idx="247">
                  <c:v>5.4905621601290963E-2</c:v>
                </c:pt>
                <c:pt idx="248">
                  <c:v>5.490225606086329E-2</c:v>
                </c:pt>
                <c:pt idx="249">
                  <c:v>5.4900566350751065E-2</c:v>
                </c:pt>
                <c:pt idx="250">
                  <c:v>5.4902251440880769E-2</c:v>
                </c:pt>
                <c:pt idx="251">
                  <c:v>5.4904473120125183E-2</c:v>
                </c:pt>
                <c:pt idx="252">
                  <c:v>5.4902751436408367E-2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67-7047-819B-9D9AB1F9F283}"/>
            </c:ext>
          </c:extLst>
        </c:ser>
        <c:ser>
          <c:idx val="8"/>
          <c:order val="8"/>
          <c:tx>
            <c:strRef>
              <c:f>'CIR Simulation (MLE)'!$M$1</c:f>
              <c:strCache>
                <c:ptCount val="1"/>
                <c:pt idx="0">
                  <c:v>Sims 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(MLE)'!$M$2:$M$254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5.5185633625727995E-2</c:v>
                </c:pt>
                <c:pt idx="2">
                  <c:v>5.517274732726149E-2</c:v>
                </c:pt>
                <c:pt idx="3">
                  <c:v>5.5161801608175562E-2</c:v>
                </c:pt>
                <c:pt idx="4">
                  <c:v>5.5150413742828107E-2</c:v>
                </c:pt>
                <c:pt idx="5">
                  <c:v>5.5137463661621318E-2</c:v>
                </c:pt>
                <c:pt idx="6">
                  <c:v>5.5126601749091071E-2</c:v>
                </c:pt>
                <c:pt idx="7">
                  <c:v>5.511288814132418E-2</c:v>
                </c:pt>
                <c:pt idx="8">
                  <c:v>5.5101510391051302E-2</c:v>
                </c:pt>
                <c:pt idx="9">
                  <c:v>5.5090046086069239E-2</c:v>
                </c:pt>
                <c:pt idx="10">
                  <c:v>5.5079272191839744E-2</c:v>
                </c:pt>
                <c:pt idx="11">
                  <c:v>5.5075811534211684E-2</c:v>
                </c:pt>
                <c:pt idx="12">
                  <c:v>5.5070312246418181E-2</c:v>
                </c:pt>
                <c:pt idx="13">
                  <c:v>5.5062030924352398E-2</c:v>
                </c:pt>
                <c:pt idx="14">
                  <c:v>5.5053881251644038E-2</c:v>
                </c:pt>
                <c:pt idx="15">
                  <c:v>5.5042689427595368E-2</c:v>
                </c:pt>
                <c:pt idx="16">
                  <c:v>5.5035486335406933E-2</c:v>
                </c:pt>
                <c:pt idx="17">
                  <c:v>5.5033462585560959E-2</c:v>
                </c:pt>
                <c:pt idx="18">
                  <c:v>5.5027333414051957E-2</c:v>
                </c:pt>
                <c:pt idx="19">
                  <c:v>5.5023300277364323E-2</c:v>
                </c:pt>
                <c:pt idx="20">
                  <c:v>5.5017154678003041E-2</c:v>
                </c:pt>
                <c:pt idx="21">
                  <c:v>5.5012225098902801E-2</c:v>
                </c:pt>
                <c:pt idx="22">
                  <c:v>5.5006484162595327E-2</c:v>
                </c:pt>
                <c:pt idx="23">
                  <c:v>5.5002192742462618E-2</c:v>
                </c:pt>
                <c:pt idx="24">
                  <c:v>5.4998884181985126E-2</c:v>
                </c:pt>
                <c:pt idx="25">
                  <c:v>5.4996680417118769E-2</c:v>
                </c:pt>
                <c:pt idx="26">
                  <c:v>5.4988841297933307E-2</c:v>
                </c:pt>
                <c:pt idx="27">
                  <c:v>5.4985086772020901E-2</c:v>
                </c:pt>
                <c:pt idx="28">
                  <c:v>5.4983674169557052E-2</c:v>
                </c:pt>
                <c:pt idx="29">
                  <c:v>5.4979578895413939E-2</c:v>
                </c:pt>
                <c:pt idx="30">
                  <c:v>5.4975089800538092E-2</c:v>
                </c:pt>
                <c:pt idx="31">
                  <c:v>5.4975548067046583E-2</c:v>
                </c:pt>
                <c:pt idx="32">
                  <c:v>5.4974303604420682E-2</c:v>
                </c:pt>
                <c:pt idx="33">
                  <c:v>5.4968412062462411E-2</c:v>
                </c:pt>
                <c:pt idx="34">
                  <c:v>5.4960964608779445E-2</c:v>
                </c:pt>
                <c:pt idx="35">
                  <c:v>5.4954809088689174E-2</c:v>
                </c:pt>
                <c:pt idx="36">
                  <c:v>5.4949143261805694E-2</c:v>
                </c:pt>
                <c:pt idx="37">
                  <c:v>5.4944021765495815E-2</c:v>
                </c:pt>
                <c:pt idx="38">
                  <c:v>5.4940390870829754E-2</c:v>
                </c:pt>
                <c:pt idx="39">
                  <c:v>5.4939286817703097E-2</c:v>
                </c:pt>
                <c:pt idx="40">
                  <c:v>5.493873681539603E-2</c:v>
                </c:pt>
                <c:pt idx="41">
                  <c:v>5.4940591591173725E-2</c:v>
                </c:pt>
                <c:pt idx="42">
                  <c:v>5.4945083994714095E-2</c:v>
                </c:pt>
                <c:pt idx="43">
                  <c:v>5.4950943129375728E-2</c:v>
                </c:pt>
                <c:pt idx="44">
                  <c:v>5.4947675415056005E-2</c:v>
                </c:pt>
                <c:pt idx="45">
                  <c:v>5.4950984601266767E-2</c:v>
                </c:pt>
                <c:pt idx="46">
                  <c:v>5.4951032382636329E-2</c:v>
                </c:pt>
                <c:pt idx="47">
                  <c:v>5.4950613074640518E-2</c:v>
                </c:pt>
                <c:pt idx="48">
                  <c:v>5.4947324992166868E-2</c:v>
                </c:pt>
                <c:pt idx="49">
                  <c:v>5.4951281581593861E-2</c:v>
                </c:pt>
                <c:pt idx="50">
                  <c:v>5.4945964171001706E-2</c:v>
                </c:pt>
                <c:pt idx="51">
                  <c:v>5.4945559609386158E-2</c:v>
                </c:pt>
                <c:pt idx="52">
                  <c:v>5.494128331530574E-2</c:v>
                </c:pt>
                <c:pt idx="53">
                  <c:v>5.4936559888773315E-2</c:v>
                </c:pt>
                <c:pt idx="54">
                  <c:v>5.493382056989065E-2</c:v>
                </c:pt>
                <c:pt idx="55">
                  <c:v>5.4930848996799342E-2</c:v>
                </c:pt>
                <c:pt idx="56">
                  <c:v>5.4925974738549405E-2</c:v>
                </c:pt>
                <c:pt idx="57">
                  <c:v>5.4925748120246504E-2</c:v>
                </c:pt>
                <c:pt idx="58">
                  <c:v>5.492869593332534E-2</c:v>
                </c:pt>
                <c:pt idx="59">
                  <c:v>5.492771317326247E-2</c:v>
                </c:pt>
                <c:pt idx="60">
                  <c:v>5.4923999488837333E-2</c:v>
                </c:pt>
                <c:pt idx="61">
                  <c:v>5.4922227592778115E-2</c:v>
                </c:pt>
                <c:pt idx="62">
                  <c:v>5.4922769443028131E-2</c:v>
                </c:pt>
                <c:pt idx="63">
                  <c:v>5.4924510914972954E-2</c:v>
                </c:pt>
                <c:pt idx="64">
                  <c:v>5.4925563342945218E-2</c:v>
                </c:pt>
                <c:pt idx="65">
                  <c:v>5.4923071563219641E-2</c:v>
                </c:pt>
                <c:pt idx="66">
                  <c:v>5.4918945802448486E-2</c:v>
                </c:pt>
                <c:pt idx="67">
                  <c:v>5.4916741054877684E-2</c:v>
                </c:pt>
                <c:pt idx="68">
                  <c:v>5.4914501958003265E-2</c:v>
                </c:pt>
                <c:pt idx="69">
                  <c:v>5.4912747867554158E-2</c:v>
                </c:pt>
                <c:pt idx="70">
                  <c:v>5.4915847360607985E-2</c:v>
                </c:pt>
                <c:pt idx="71">
                  <c:v>5.4915696864614554E-2</c:v>
                </c:pt>
                <c:pt idx="72">
                  <c:v>5.4915699328021587E-2</c:v>
                </c:pt>
                <c:pt idx="73">
                  <c:v>5.4921422551117274E-2</c:v>
                </c:pt>
                <c:pt idx="74">
                  <c:v>5.4920789728150406E-2</c:v>
                </c:pt>
                <c:pt idx="75">
                  <c:v>5.4920428608035303E-2</c:v>
                </c:pt>
                <c:pt idx="76">
                  <c:v>5.4916914739938517E-2</c:v>
                </c:pt>
                <c:pt idx="77">
                  <c:v>5.4917226111989882E-2</c:v>
                </c:pt>
                <c:pt idx="78">
                  <c:v>5.4916704142778709E-2</c:v>
                </c:pt>
                <c:pt idx="79">
                  <c:v>5.4912934764904303E-2</c:v>
                </c:pt>
                <c:pt idx="80">
                  <c:v>5.4910934586297741E-2</c:v>
                </c:pt>
                <c:pt idx="81">
                  <c:v>5.4911811677927934E-2</c:v>
                </c:pt>
                <c:pt idx="82">
                  <c:v>5.4914385362120594E-2</c:v>
                </c:pt>
                <c:pt idx="83">
                  <c:v>5.4914307968786873E-2</c:v>
                </c:pt>
                <c:pt idx="84">
                  <c:v>5.4915434528221972E-2</c:v>
                </c:pt>
                <c:pt idx="85">
                  <c:v>5.491346321915893E-2</c:v>
                </c:pt>
                <c:pt idx="86">
                  <c:v>5.4910813756162635E-2</c:v>
                </c:pt>
                <c:pt idx="87">
                  <c:v>5.4907649457748522E-2</c:v>
                </c:pt>
                <c:pt idx="88">
                  <c:v>5.4904214245288338E-2</c:v>
                </c:pt>
                <c:pt idx="89">
                  <c:v>5.4904880680092832E-2</c:v>
                </c:pt>
                <c:pt idx="90">
                  <c:v>5.4904414903781777E-2</c:v>
                </c:pt>
                <c:pt idx="91">
                  <c:v>5.4905496025431558E-2</c:v>
                </c:pt>
                <c:pt idx="92">
                  <c:v>5.4909483626798893E-2</c:v>
                </c:pt>
                <c:pt idx="93">
                  <c:v>5.4910717163961384E-2</c:v>
                </c:pt>
                <c:pt idx="94">
                  <c:v>5.4915995802209343E-2</c:v>
                </c:pt>
                <c:pt idx="95">
                  <c:v>5.4915587211197721E-2</c:v>
                </c:pt>
                <c:pt idx="96">
                  <c:v>5.491656779664366E-2</c:v>
                </c:pt>
                <c:pt idx="97">
                  <c:v>5.4914932065368592E-2</c:v>
                </c:pt>
                <c:pt idx="98">
                  <c:v>5.4917675736247305E-2</c:v>
                </c:pt>
                <c:pt idx="99">
                  <c:v>5.491777522673795E-2</c:v>
                </c:pt>
                <c:pt idx="100">
                  <c:v>5.4915666097536391E-2</c:v>
                </c:pt>
                <c:pt idx="101">
                  <c:v>5.4917300721637502E-2</c:v>
                </c:pt>
                <c:pt idx="102">
                  <c:v>5.4917698605455617E-2</c:v>
                </c:pt>
                <c:pt idx="103">
                  <c:v>5.4917823949609874E-2</c:v>
                </c:pt>
                <c:pt idx="104">
                  <c:v>5.4916953890944184E-2</c:v>
                </c:pt>
                <c:pt idx="105">
                  <c:v>5.4915021095446423E-2</c:v>
                </c:pt>
                <c:pt idx="106">
                  <c:v>5.4914599121539266E-2</c:v>
                </c:pt>
                <c:pt idx="107">
                  <c:v>5.491380208927029E-2</c:v>
                </c:pt>
                <c:pt idx="108">
                  <c:v>5.4908193953819018E-2</c:v>
                </c:pt>
                <c:pt idx="109">
                  <c:v>5.4904903587444154E-2</c:v>
                </c:pt>
                <c:pt idx="110">
                  <c:v>5.4905410402065688E-2</c:v>
                </c:pt>
                <c:pt idx="111">
                  <c:v>5.4904385519765439E-2</c:v>
                </c:pt>
                <c:pt idx="112">
                  <c:v>5.4906776177984652E-2</c:v>
                </c:pt>
                <c:pt idx="113">
                  <c:v>5.490597905749485E-2</c:v>
                </c:pt>
                <c:pt idx="114">
                  <c:v>5.4909381108829723E-2</c:v>
                </c:pt>
                <c:pt idx="115">
                  <c:v>5.4907980977325035E-2</c:v>
                </c:pt>
                <c:pt idx="116">
                  <c:v>5.4908499945452438E-2</c:v>
                </c:pt>
                <c:pt idx="117">
                  <c:v>5.4910888910905065E-2</c:v>
                </c:pt>
                <c:pt idx="118">
                  <c:v>5.4908875486595579E-2</c:v>
                </c:pt>
                <c:pt idx="119">
                  <c:v>5.4903350442636181E-2</c:v>
                </c:pt>
                <c:pt idx="120">
                  <c:v>5.4904867441713134E-2</c:v>
                </c:pt>
                <c:pt idx="121">
                  <c:v>5.4900740300809596E-2</c:v>
                </c:pt>
                <c:pt idx="122">
                  <c:v>5.4896652581789954E-2</c:v>
                </c:pt>
                <c:pt idx="123">
                  <c:v>5.4891762873932347E-2</c:v>
                </c:pt>
                <c:pt idx="124">
                  <c:v>5.4894321387445752E-2</c:v>
                </c:pt>
                <c:pt idx="125">
                  <c:v>5.4893888225720743E-2</c:v>
                </c:pt>
                <c:pt idx="126">
                  <c:v>5.4892054800413051E-2</c:v>
                </c:pt>
                <c:pt idx="127">
                  <c:v>5.4893105971063193E-2</c:v>
                </c:pt>
                <c:pt idx="128">
                  <c:v>5.4893104970622844E-2</c:v>
                </c:pt>
                <c:pt idx="129">
                  <c:v>5.4891279480070963E-2</c:v>
                </c:pt>
                <c:pt idx="130">
                  <c:v>5.4889990877760204E-2</c:v>
                </c:pt>
                <c:pt idx="131">
                  <c:v>5.4892879588212082E-2</c:v>
                </c:pt>
                <c:pt idx="132">
                  <c:v>5.4892539308906314E-2</c:v>
                </c:pt>
                <c:pt idx="133">
                  <c:v>5.4898715622250023E-2</c:v>
                </c:pt>
                <c:pt idx="134">
                  <c:v>5.4901389921300704E-2</c:v>
                </c:pt>
                <c:pt idx="135">
                  <c:v>5.4901089255867445E-2</c:v>
                </c:pt>
                <c:pt idx="136">
                  <c:v>5.4898714409823676E-2</c:v>
                </c:pt>
                <c:pt idx="137">
                  <c:v>5.4902015219876352E-2</c:v>
                </c:pt>
                <c:pt idx="138">
                  <c:v>5.4900227523059023E-2</c:v>
                </c:pt>
                <c:pt idx="139">
                  <c:v>5.4905253579652563E-2</c:v>
                </c:pt>
                <c:pt idx="140">
                  <c:v>5.4908244076893431E-2</c:v>
                </c:pt>
                <c:pt idx="141">
                  <c:v>5.4904563719175979E-2</c:v>
                </c:pt>
                <c:pt idx="142">
                  <c:v>5.490155429865147E-2</c:v>
                </c:pt>
                <c:pt idx="143">
                  <c:v>5.4902221326329277E-2</c:v>
                </c:pt>
                <c:pt idx="144">
                  <c:v>5.4900647415193383E-2</c:v>
                </c:pt>
                <c:pt idx="145">
                  <c:v>5.4901316810878197E-2</c:v>
                </c:pt>
                <c:pt idx="146">
                  <c:v>5.4901435123606145E-2</c:v>
                </c:pt>
                <c:pt idx="147">
                  <c:v>5.4899010585676186E-2</c:v>
                </c:pt>
                <c:pt idx="148">
                  <c:v>5.4900561470171208E-2</c:v>
                </c:pt>
                <c:pt idx="149">
                  <c:v>5.4904306765304944E-2</c:v>
                </c:pt>
                <c:pt idx="150">
                  <c:v>5.4905816923435116E-2</c:v>
                </c:pt>
                <c:pt idx="151">
                  <c:v>5.4912029471801641E-2</c:v>
                </c:pt>
                <c:pt idx="152">
                  <c:v>5.4909443696889035E-2</c:v>
                </c:pt>
                <c:pt idx="153">
                  <c:v>5.4903215024176617E-2</c:v>
                </c:pt>
                <c:pt idx="154">
                  <c:v>5.4897662213740886E-2</c:v>
                </c:pt>
                <c:pt idx="155">
                  <c:v>5.4897531537530291E-2</c:v>
                </c:pt>
                <c:pt idx="156">
                  <c:v>5.4899934795094342E-2</c:v>
                </c:pt>
                <c:pt idx="157">
                  <c:v>5.4902035619458042E-2</c:v>
                </c:pt>
                <c:pt idx="158">
                  <c:v>5.490323691946631E-2</c:v>
                </c:pt>
                <c:pt idx="159">
                  <c:v>5.4901483774310499E-2</c:v>
                </c:pt>
                <c:pt idx="160">
                  <c:v>5.4902327362578565E-2</c:v>
                </c:pt>
                <c:pt idx="161">
                  <c:v>5.48990015486924E-2</c:v>
                </c:pt>
                <c:pt idx="162">
                  <c:v>5.4902683977126741E-2</c:v>
                </c:pt>
                <c:pt idx="163">
                  <c:v>5.4903178253721298E-2</c:v>
                </c:pt>
                <c:pt idx="164">
                  <c:v>5.490360663537841E-2</c:v>
                </c:pt>
                <c:pt idx="165">
                  <c:v>5.490481702037453E-2</c:v>
                </c:pt>
                <c:pt idx="166">
                  <c:v>5.4906698164721005E-2</c:v>
                </c:pt>
                <c:pt idx="167">
                  <c:v>5.4904205942596603E-2</c:v>
                </c:pt>
                <c:pt idx="168">
                  <c:v>5.4903574622588026E-2</c:v>
                </c:pt>
                <c:pt idx="169">
                  <c:v>5.4903780960464277E-2</c:v>
                </c:pt>
                <c:pt idx="170">
                  <c:v>5.4904207218042726E-2</c:v>
                </c:pt>
                <c:pt idx="171">
                  <c:v>5.4899333182650861E-2</c:v>
                </c:pt>
                <c:pt idx="172">
                  <c:v>5.4900772152310921E-2</c:v>
                </c:pt>
                <c:pt idx="173">
                  <c:v>5.4900806307171937E-2</c:v>
                </c:pt>
                <c:pt idx="174">
                  <c:v>5.4904120719501126E-2</c:v>
                </c:pt>
                <c:pt idx="175">
                  <c:v>5.490416607302534E-2</c:v>
                </c:pt>
                <c:pt idx="176">
                  <c:v>5.4908365176829878E-2</c:v>
                </c:pt>
                <c:pt idx="177">
                  <c:v>5.4905762253554397E-2</c:v>
                </c:pt>
                <c:pt idx="178">
                  <c:v>5.4903668721858007E-2</c:v>
                </c:pt>
                <c:pt idx="179">
                  <c:v>5.4906517783975053E-2</c:v>
                </c:pt>
                <c:pt idx="180">
                  <c:v>5.4903728288885401E-2</c:v>
                </c:pt>
                <c:pt idx="181">
                  <c:v>5.4901951971840314E-2</c:v>
                </c:pt>
                <c:pt idx="182">
                  <c:v>5.4901418406309146E-2</c:v>
                </c:pt>
                <c:pt idx="183">
                  <c:v>5.490454411720571E-2</c:v>
                </c:pt>
                <c:pt idx="184">
                  <c:v>5.489960949161235E-2</c:v>
                </c:pt>
                <c:pt idx="185">
                  <c:v>5.4898649328977714E-2</c:v>
                </c:pt>
                <c:pt idx="186">
                  <c:v>5.4900689272064963E-2</c:v>
                </c:pt>
                <c:pt idx="187">
                  <c:v>5.4899950050300961E-2</c:v>
                </c:pt>
                <c:pt idx="188">
                  <c:v>5.4899436918063628E-2</c:v>
                </c:pt>
                <c:pt idx="189">
                  <c:v>5.4901365570933489E-2</c:v>
                </c:pt>
                <c:pt idx="190">
                  <c:v>5.4903928027982232E-2</c:v>
                </c:pt>
                <c:pt idx="191">
                  <c:v>5.4901034387483921E-2</c:v>
                </c:pt>
                <c:pt idx="192">
                  <c:v>5.4901803111574492E-2</c:v>
                </c:pt>
                <c:pt idx="193">
                  <c:v>5.4902305023820354E-2</c:v>
                </c:pt>
                <c:pt idx="194">
                  <c:v>5.4898781938381679E-2</c:v>
                </c:pt>
                <c:pt idx="195">
                  <c:v>5.4896300324593181E-2</c:v>
                </c:pt>
                <c:pt idx="196">
                  <c:v>5.4894993326546446E-2</c:v>
                </c:pt>
                <c:pt idx="197">
                  <c:v>5.4897356941032219E-2</c:v>
                </c:pt>
                <c:pt idx="198">
                  <c:v>5.4898265745796967E-2</c:v>
                </c:pt>
                <c:pt idx="199">
                  <c:v>5.4896166148097655E-2</c:v>
                </c:pt>
                <c:pt idx="200">
                  <c:v>5.489144364546996E-2</c:v>
                </c:pt>
                <c:pt idx="201">
                  <c:v>5.4890028796229964E-2</c:v>
                </c:pt>
                <c:pt idx="202">
                  <c:v>5.4887451349012184E-2</c:v>
                </c:pt>
                <c:pt idx="203">
                  <c:v>5.4888016406534137E-2</c:v>
                </c:pt>
                <c:pt idx="204">
                  <c:v>5.4887442300815818E-2</c:v>
                </c:pt>
                <c:pt idx="205">
                  <c:v>5.4890080126824198E-2</c:v>
                </c:pt>
                <c:pt idx="206">
                  <c:v>5.4900091282206458E-2</c:v>
                </c:pt>
                <c:pt idx="207">
                  <c:v>5.4903122195878423E-2</c:v>
                </c:pt>
                <c:pt idx="208">
                  <c:v>5.4903885271014405E-2</c:v>
                </c:pt>
                <c:pt idx="209">
                  <c:v>5.4902013114048138E-2</c:v>
                </c:pt>
                <c:pt idx="210">
                  <c:v>5.490110185502186E-2</c:v>
                </c:pt>
                <c:pt idx="211">
                  <c:v>5.4901556979676178E-2</c:v>
                </c:pt>
                <c:pt idx="212">
                  <c:v>5.4899759305944214E-2</c:v>
                </c:pt>
                <c:pt idx="213">
                  <c:v>5.4900044560950843E-2</c:v>
                </c:pt>
                <c:pt idx="214">
                  <c:v>5.4897686854334979E-2</c:v>
                </c:pt>
                <c:pt idx="215">
                  <c:v>5.4893860215513762E-2</c:v>
                </c:pt>
                <c:pt idx="216">
                  <c:v>5.4898287149919095E-2</c:v>
                </c:pt>
                <c:pt idx="217">
                  <c:v>5.4897248339305441E-2</c:v>
                </c:pt>
                <c:pt idx="218">
                  <c:v>5.4899493309629017E-2</c:v>
                </c:pt>
                <c:pt idx="219">
                  <c:v>5.4899727512613364E-2</c:v>
                </c:pt>
                <c:pt idx="220">
                  <c:v>5.4898293850713535E-2</c:v>
                </c:pt>
                <c:pt idx="221">
                  <c:v>5.4899845523475342E-2</c:v>
                </c:pt>
                <c:pt idx="222">
                  <c:v>5.4895321438678937E-2</c:v>
                </c:pt>
                <c:pt idx="223">
                  <c:v>5.4893875120244767E-2</c:v>
                </c:pt>
                <c:pt idx="224">
                  <c:v>5.489383477049628E-2</c:v>
                </c:pt>
                <c:pt idx="225">
                  <c:v>5.4897718048842616E-2</c:v>
                </c:pt>
                <c:pt idx="226">
                  <c:v>5.489584488785787E-2</c:v>
                </c:pt>
                <c:pt idx="227">
                  <c:v>5.4898885967302323E-2</c:v>
                </c:pt>
                <c:pt idx="228">
                  <c:v>5.4901620336643836E-2</c:v>
                </c:pt>
                <c:pt idx="229">
                  <c:v>5.490413320874174E-2</c:v>
                </c:pt>
                <c:pt idx="230">
                  <c:v>5.4907919463834089E-2</c:v>
                </c:pt>
                <c:pt idx="231">
                  <c:v>5.4908252742220012E-2</c:v>
                </c:pt>
                <c:pt idx="232">
                  <c:v>5.4906126523134431E-2</c:v>
                </c:pt>
                <c:pt idx="233">
                  <c:v>5.4905030874049451E-2</c:v>
                </c:pt>
                <c:pt idx="234">
                  <c:v>5.4905707674768316E-2</c:v>
                </c:pt>
                <c:pt idx="235">
                  <c:v>5.4906560227051648E-2</c:v>
                </c:pt>
                <c:pt idx="236">
                  <c:v>5.49072301437704E-2</c:v>
                </c:pt>
                <c:pt idx="237">
                  <c:v>5.4906963160842787E-2</c:v>
                </c:pt>
                <c:pt idx="238">
                  <c:v>5.4908053493813003E-2</c:v>
                </c:pt>
                <c:pt idx="239">
                  <c:v>5.4906253356090999E-2</c:v>
                </c:pt>
                <c:pt idx="240">
                  <c:v>5.490710888726804E-2</c:v>
                </c:pt>
                <c:pt idx="241">
                  <c:v>5.4906070995260778E-2</c:v>
                </c:pt>
                <c:pt idx="242">
                  <c:v>5.4902551816796402E-2</c:v>
                </c:pt>
                <c:pt idx="243">
                  <c:v>5.4900064493079319E-2</c:v>
                </c:pt>
                <c:pt idx="244">
                  <c:v>5.4899294836411719E-2</c:v>
                </c:pt>
                <c:pt idx="245">
                  <c:v>5.4899544128069348E-2</c:v>
                </c:pt>
                <c:pt idx="246">
                  <c:v>5.4903116918249582E-2</c:v>
                </c:pt>
                <c:pt idx="247">
                  <c:v>5.4903881853921102E-2</c:v>
                </c:pt>
                <c:pt idx="248">
                  <c:v>5.4903769264110697E-2</c:v>
                </c:pt>
                <c:pt idx="249">
                  <c:v>5.4900807896877964E-2</c:v>
                </c:pt>
                <c:pt idx="250">
                  <c:v>5.4897111942895128E-2</c:v>
                </c:pt>
                <c:pt idx="251">
                  <c:v>5.4890603220726128E-2</c:v>
                </c:pt>
                <c:pt idx="252">
                  <c:v>5.488629637584836E-2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67-7047-819B-9D9AB1F9F283}"/>
            </c:ext>
          </c:extLst>
        </c:ser>
        <c:ser>
          <c:idx val="9"/>
          <c:order val="9"/>
          <c:tx>
            <c:strRef>
              <c:f>'CIR Simulation (MLE)'!$N$1</c:f>
              <c:strCache>
                <c:ptCount val="1"/>
                <c:pt idx="0">
                  <c:v>Sims 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'CIR Simulation (MLE)'!$N$2:$N$254</c:f>
              <c:numCache>
                <c:formatCode>General</c:formatCode>
                <c:ptCount val="253"/>
                <c:pt idx="0">
                  <c:v>5.5199999999999999E-2</c:v>
                </c:pt>
                <c:pt idx="1">
                  <c:v>5.5188038264358676E-2</c:v>
                </c:pt>
                <c:pt idx="2">
                  <c:v>5.5175702879673889E-2</c:v>
                </c:pt>
                <c:pt idx="3">
                  <c:v>5.5161138754561183E-2</c:v>
                </c:pt>
                <c:pt idx="4">
                  <c:v>5.5150068825629048E-2</c:v>
                </c:pt>
                <c:pt idx="5">
                  <c:v>5.5140425693951868E-2</c:v>
                </c:pt>
                <c:pt idx="6">
                  <c:v>5.512855960628836E-2</c:v>
                </c:pt>
                <c:pt idx="7">
                  <c:v>5.5115997857055642E-2</c:v>
                </c:pt>
                <c:pt idx="8">
                  <c:v>5.5109466579010391E-2</c:v>
                </c:pt>
                <c:pt idx="9">
                  <c:v>5.5103192672783685E-2</c:v>
                </c:pt>
                <c:pt idx="10">
                  <c:v>5.5102653427619885E-2</c:v>
                </c:pt>
                <c:pt idx="11">
                  <c:v>5.509625004770502E-2</c:v>
                </c:pt>
                <c:pt idx="12">
                  <c:v>5.5082307029939999E-2</c:v>
                </c:pt>
                <c:pt idx="13">
                  <c:v>5.5077882546236509E-2</c:v>
                </c:pt>
                <c:pt idx="14">
                  <c:v>5.5066823243018585E-2</c:v>
                </c:pt>
                <c:pt idx="15">
                  <c:v>5.505660651805739E-2</c:v>
                </c:pt>
                <c:pt idx="16">
                  <c:v>5.5049563332496797E-2</c:v>
                </c:pt>
                <c:pt idx="17">
                  <c:v>5.5044678505250064E-2</c:v>
                </c:pt>
                <c:pt idx="18">
                  <c:v>5.5038768578151508E-2</c:v>
                </c:pt>
                <c:pt idx="19">
                  <c:v>5.5031736493758351E-2</c:v>
                </c:pt>
                <c:pt idx="20">
                  <c:v>5.5026042808944825E-2</c:v>
                </c:pt>
                <c:pt idx="21">
                  <c:v>5.50241037890584E-2</c:v>
                </c:pt>
                <c:pt idx="22">
                  <c:v>5.5015527820894819E-2</c:v>
                </c:pt>
                <c:pt idx="23">
                  <c:v>5.5011973474312227E-2</c:v>
                </c:pt>
                <c:pt idx="24">
                  <c:v>5.5001619817060809E-2</c:v>
                </c:pt>
                <c:pt idx="25">
                  <c:v>5.5000888049762345E-2</c:v>
                </c:pt>
                <c:pt idx="26">
                  <c:v>5.5000020611089911E-2</c:v>
                </c:pt>
                <c:pt idx="27">
                  <c:v>5.4994369003520407E-2</c:v>
                </c:pt>
                <c:pt idx="28">
                  <c:v>5.4987885869849019E-2</c:v>
                </c:pt>
                <c:pt idx="29">
                  <c:v>5.4989581235769892E-2</c:v>
                </c:pt>
                <c:pt idx="30">
                  <c:v>5.4984642456570164E-2</c:v>
                </c:pt>
                <c:pt idx="31">
                  <c:v>5.498191557157716E-2</c:v>
                </c:pt>
                <c:pt idx="32">
                  <c:v>5.4978959983663832E-2</c:v>
                </c:pt>
                <c:pt idx="33">
                  <c:v>5.497829061901599E-2</c:v>
                </c:pt>
                <c:pt idx="34">
                  <c:v>5.4977790566560936E-2</c:v>
                </c:pt>
                <c:pt idx="35">
                  <c:v>5.4972105858293249E-2</c:v>
                </c:pt>
                <c:pt idx="36">
                  <c:v>5.4971014361019838E-2</c:v>
                </c:pt>
                <c:pt idx="37">
                  <c:v>5.4963670282185552E-2</c:v>
                </c:pt>
                <c:pt idx="38">
                  <c:v>5.4961400212705916E-2</c:v>
                </c:pt>
                <c:pt idx="39">
                  <c:v>5.4954489336088347E-2</c:v>
                </c:pt>
                <c:pt idx="40">
                  <c:v>5.495475074525364E-2</c:v>
                </c:pt>
                <c:pt idx="41">
                  <c:v>5.49506195741448E-2</c:v>
                </c:pt>
                <c:pt idx="42">
                  <c:v>5.4949148189448578E-2</c:v>
                </c:pt>
                <c:pt idx="43">
                  <c:v>5.4949125865349342E-2</c:v>
                </c:pt>
                <c:pt idx="44">
                  <c:v>5.4946645797386492E-2</c:v>
                </c:pt>
                <c:pt idx="45">
                  <c:v>5.4941700576234875E-2</c:v>
                </c:pt>
                <c:pt idx="46">
                  <c:v>5.4936774342411086E-2</c:v>
                </c:pt>
                <c:pt idx="47">
                  <c:v>5.494025575535362E-2</c:v>
                </c:pt>
                <c:pt idx="48">
                  <c:v>5.4943970190524931E-2</c:v>
                </c:pt>
                <c:pt idx="49">
                  <c:v>5.4945470758573173E-2</c:v>
                </c:pt>
                <c:pt idx="50">
                  <c:v>5.4939236063723945E-2</c:v>
                </c:pt>
                <c:pt idx="51">
                  <c:v>5.4934299469637807E-2</c:v>
                </c:pt>
                <c:pt idx="52">
                  <c:v>5.4933348395741433E-2</c:v>
                </c:pt>
                <c:pt idx="53">
                  <c:v>5.4927873801095498E-2</c:v>
                </c:pt>
                <c:pt idx="54">
                  <c:v>5.4928327574370647E-2</c:v>
                </c:pt>
                <c:pt idx="55">
                  <c:v>5.4924016153474593E-2</c:v>
                </c:pt>
                <c:pt idx="56">
                  <c:v>5.4924349827556493E-2</c:v>
                </c:pt>
                <c:pt idx="57">
                  <c:v>5.4923217068495699E-2</c:v>
                </c:pt>
                <c:pt idx="58">
                  <c:v>5.492368698697199E-2</c:v>
                </c:pt>
                <c:pt idx="59">
                  <c:v>5.4926749387577835E-2</c:v>
                </c:pt>
                <c:pt idx="60">
                  <c:v>5.4923500359488411E-2</c:v>
                </c:pt>
                <c:pt idx="61">
                  <c:v>5.4919978653091207E-2</c:v>
                </c:pt>
                <c:pt idx="62">
                  <c:v>5.4920342497915588E-2</c:v>
                </c:pt>
                <c:pt idx="63">
                  <c:v>5.4920859720341109E-2</c:v>
                </c:pt>
                <c:pt idx="64">
                  <c:v>5.491779224234819E-2</c:v>
                </c:pt>
                <c:pt idx="65">
                  <c:v>5.4921884126928645E-2</c:v>
                </c:pt>
                <c:pt idx="66">
                  <c:v>5.4920772047422954E-2</c:v>
                </c:pt>
                <c:pt idx="67">
                  <c:v>5.4914592075418663E-2</c:v>
                </c:pt>
                <c:pt idx="68">
                  <c:v>5.4914574612198626E-2</c:v>
                </c:pt>
                <c:pt idx="69">
                  <c:v>5.491234888794997E-2</c:v>
                </c:pt>
                <c:pt idx="70">
                  <c:v>5.4910058641525879E-2</c:v>
                </c:pt>
                <c:pt idx="71">
                  <c:v>5.4906012574169487E-2</c:v>
                </c:pt>
                <c:pt idx="72">
                  <c:v>5.490597188043464E-2</c:v>
                </c:pt>
                <c:pt idx="73">
                  <c:v>5.4907900711197957E-2</c:v>
                </c:pt>
                <c:pt idx="74">
                  <c:v>5.490702417148758E-2</c:v>
                </c:pt>
                <c:pt idx="75">
                  <c:v>5.4905270002242643E-2</c:v>
                </c:pt>
                <c:pt idx="76">
                  <c:v>5.4903211707304514E-2</c:v>
                </c:pt>
                <c:pt idx="77">
                  <c:v>5.4904901634613659E-2</c:v>
                </c:pt>
                <c:pt idx="78">
                  <c:v>5.4906962606166905E-2</c:v>
                </c:pt>
                <c:pt idx="79">
                  <c:v>5.4908169796546766E-2</c:v>
                </c:pt>
                <c:pt idx="80">
                  <c:v>5.4902439801752911E-2</c:v>
                </c:pt>
                <c:pt idx="81">
                  <c:v>5.4898409594832623E-2</c:v>
                </c:pt>
                <c:pt idx="82">
                  <c:v>5.4900576924126962E-2</c:v>
                </c:pt>
                <c:pt idx="83">
                  <c:v>5.4900326983751149E-2</c:v>
                </c:pt>
                <c:pt idx="84">
                  <c:v>5.4902188362755504E-2</c:v>
                </c:pt>
                <c:pt idx="85">
                  <c:v>5.4901848788299137E-2</c:v>
                </c:pt>
                <c:pt idx="86">
                  <c:v>5.4901824878450869E-2</c:v>
                </c:pt>
                <c:pt idx="87">
                  <c:v>5.4901952977147651E-2</c:v>
                </c:pt>
                <c:pt idx="88">
                  <c:v>5.4896977447168718E-2</c:v>
                </c:pt>
                <c:pt idx="89">
                  <c:v>5.4896861896903661E-2</c:v>
                </c:pt>
                <c:pt idx="90">
                  <c:v>5.4890781743761718E-2</c:v>
                </c:pt>
                <c:pt idx="91">
                  <c:v>5.4891530253244565E-2</c:v>
                </c:pt>
                <c:pt idx="92">
                  <c:v>5.4896351242385663E-2</c:v>
                </c:pt>
                <c:pt idx="93">
                  <c:v>5.4900015182836832E-2</c:v>
                </c:pt>
                <c:pt idx="94">
                  <c:v>5.4890556684169589E-2</c:v>
                </c:pt>
                <c:pt idx="95">
                  <c:v>5.4890144441582814E-2</c:v>
                </c:pt>
                <c:pt idx="96">
                  <c:v>5.4887157859079924E-2</c:v>
                </c:pt>
                <c:pt idx="97">
                  <c:v>5.4888670999938695E-2</c:v>
                </c:pt>
                <c:pt idx="98">
                  <c:v>5.4886752081144456E-2</c:v>
                </c:pt>
                <c:pt idx="99">
                  <c:v>5.4892114332934817E-2</c:v>
                </c:pt>
                <c:pt idx="100">
                  <c:v>5.4889865811428407E-2</c:v>
                </c:pt>
                <c:pt idx="101">
                  <c:v>5.4894872865771119E-2</c:v>
                </c:pt>
                <c:pt idx="102">
                  <c:v>5.4896687516758774E-2</c:v>
                </c:pt>
                <c:pt idx="103">
                  <c:v>5.4893059473700503E-2</c:v>
                </c:pt>
                <c:pt idx="104">
                  <c:v>5.4900956787203511E-2</c:v>
                </c:pt>
                <c:pt idx="105">
                  <c:v>5.4901508585423128E-2</c:v>
                </c:pt>
                <c:pt idx="106">
                  <c:v>5.4902077017766185E-2</c:v>
                </c:pt>
                <c:pt idx="107">
                  <c:v>5.4898681537741571E-2</c:v>
                </c:pt>
                <c:pt idx="108">
                  <c:v>5.489711844029186E-2</c:v>
                </c:pt>
                <c:pt idx="109">
                  <c:v>5.4896282067408986E-2</c:v>
                </c:pt>
                <c:pt idx="110">
                  <c:v>5.4895707713081887E-2</c:v>
                </c:pt>
                <c:pt idx="111">
                  <c:v>5.4892529553212666E-2</c:v>
                </c:pt>
                <c:pt idx="112">
                  <c:v>5.4894891306169154E-2</c:v>
                </c:pt>
                <c:pt idx="113">
                  <c:v>5.4889443765215942E-2</c:v>
                </c:pt>
                <c:pt idx="114">
                  <c:v>5.4889401000957738E-2</c:v>
                </c:pt>
                <c:pt idx="115">
                  <c:v>5.4888423027294089E-2</c:v>
                </c:pt>
                <c:pt idx="116">
                  <c:v>5.4889103688025215E-2</c:v>
                </c:pt>
                <c:pt idx="117">
                  <c:v>5.489217613525664E-2</c:v>
                </c:pt>
                <c:pt idx="118">
                  <c:v>5.4892837236300278E-2</c:v>
                </c:pt>
                <c:pt idx="119">
                  <c:v>5.4893531408109944E-2</c:v>
                </c:pt>
                <c:pt idx="120">
                  <c:v>5.4890351583185761E-2</c:v>
                </c:pt>
                <c:pt idx="121">
                  <c:v>5.488955270839594E-2</c:v>
                </c:pt>
                <c:pt idx="122">
                  <c:v>5.4889587022576548E-2</c:v>
                </c:pt>
                <c:pt idx="123">
                  <c:v>5.4889072529977753E-2</c:v>
                </c:pt>
                <c:pt idx="124">
                  <c:v>5.4883660253397741E-2</c:v>
                </c:pt>
                <c:pt idx="125">
                  <c:v>5.4882695032686141E-2</c:v>
                </c:pt>
                <c:pt idx="126">
                  <c:v>5.4877983143873703E-2</c:v>
                </c:pt>
                <c:pt idx="127">
                  <c:v>5.4879209443784875E-2</c:v>
                </c:pt>
                <c:pt idx="128">
                  <c:v>5.4878068711162464E-2</c:v>
                </c:pt>
                <c:pt idx="129">
                  <c:v>5.4876093274865582E-2</c:v>
                </c:pt>
                <c:pt idx="130">
                  <c:v>5.4872877954398117E-2</c:v>
                </c:pt>
                <c:pt idx="131">
                  <c:v>5.4875891395492829E-2</c:v>
                </c:pt>
                <c:pt idx="132">
                  <c:v>5.4873470002155741E-2</c:v>
                </c:pt>
                <c:pt idx="133">
                  <c:v>5.4873881094639289E-2</c:v>
                </c:pt>
                <c:pt idx="134">
                  <c:v>5.487015612525984E-2</c:v>
                </c:pt>
                <c:pt idx="135">
                  <c:v>5.4870151411116244E-2</c:v>
                </c:pt>
                <c:pt idx="136">
                  <c:v>5.4871718676228767E-2</c:v>
                </c:pt>
                <c:pt idx="137">
                  <c:v>5.487139800071307E-2</c:v>
                </c:pt>
                <c:pt idx="138">
                  <c:v>5.4872285398602311E-2</c:v>
                </c:pt>
                <c:pt idx="139">
                  <c:v>5.4872274232164328E-2</c:v>
                </c:pt>
                <c:pt idx="140">
                  <c:v>5.4874570365227936E-2</c:v>
                </c:pt>
                <c:pt idx="141">
                  <c:v>5.4877547539044391E-2</c:v>
                </c:pt>
                <c:pt idx="142">
                  <c:v>5.48787939399734E-2</c:v>
                </c:pt>
                <c:pt idx="143">
                  <c:v>5.4882024072034082E-2</c:v>
                </c:pt>
                <c:pt idx="144">
                  <c:v>5.4884427421260699E-2</c:v>
                </c:pt>
                <c:pt idx="145">
                  <c:v>5.4889061747339492E-2</c:v>
                </c:pt>
                <c:pt idx="146">
                  <c:v>5.4891560710862479E-2</c:v>
                </c:pt>
                <c:pt idx="147">
                  <c:v>5.489432654773603E-2</c:v>
                </c:pt>
                <c:pt idx="148">
                  <c:v>5.4894069926550521E-2</c:v>
                </c:pt>
                <c:pt idx="149">
                  <c:v>5.4898737672558699E-2</c:v>
                </c:pt>
                <c:pt idx="150">
                  <c:v>5.4900968569419735E-2</c:v>
                </c:pt>
                <c:pt idx="151">
                  <c:v>5.4901218666454782E-2</c:v>
                </c:pt>
                <c:pt idx="152">
                  <c:v>5.4906798393182701E-2</c:v>
                </c:pt>
                <c:pt idx="153">
                  <c:v>5.4907485819893687E-2</c:v>
                </c:pt>
                <c:pt idx="154">
                  <c:v>5.4905693806094585E-2</c:v>
                </c:pt>
                <c:pt idx="155">
                  <c:v>5.4900477049538605E-2</c:v>
                </c:pt>
                <c:pt idx="156">
                  <c:v>5.4899680491524855E-2</c:v>
                </c:pt>
                <c:pt idx="157">
                  <c:v>5.4893457667300631E-2</c:v>
                </c:pt>
                <c:pt idx="158">
                  <c:v>5.48866548680512E-2</c:v>
                </c:pt>
                <c:pt idx="159">
                  <c:v>5.4885470548693575E-2</c:v>
                </c:pt>
                <c:pt idx="160">
                  <c:v>5.4888088125863654E-2</c:v>
                </c:pt>
                <c:pt idx="161">
                  <c:v>5.4888443648842433E-2</c:v>
                </c:pt>
                <c:pt idx="162">
                  <c:v>5.4888921451532249E-2</c:v>
                </c:pt>
                <c:pt idx="163">
                  <c:v>5.4884071212454401E-2</c:v>
                </c:pt>
                <c:pt idx="164">
                  <c:v>5.4878896491383521E-2</c:v>
                </c:pt>
                <c:pt idx="165">
                  <c:v>5.4878661670178422E-2</c:v>
                </c:pt>
                <c:pt idx="166">
                  <c:v>5.4878528308324959E-2</c:v>
                </c:pt>
                <c:pt idx="167">
                  <c:v>5.4879551319902249E-2</c:v>
                </c:pt>
                <c:pt idx="168">
                  <c:v>5.4880971740529118E-2</c:v>
                </c:pt>
                <c:pt idx="169">
                  <c:v>5.4883703965974674E-2</c:v>
                </c:pt>
                <c:pt idx="170">
                  <c:v>5.4886539071894148E-2</c:v>
                </c:pt>
                <c:pt idx="171">
                  <c:v>5.4888291474885706E-2</c:v>
                </c:pt>
                <c:pt idx="172">
                  <c:v>5.4887027397275474E-2</c:v>
                </c:pt>
                <c:pt idx="173">
                  <c:v>5.4884714668794583E-2</c:v>
                </c:pt>
                <c:pt idx="174">
                  <c:v>5.4885309892818389E-2</c:v>
                </c:pt>
                <c:pt idx="175">
                  <c:v>5.4885621298067323E-2</c:v>
                </c:pt>
                <c:pt idx="176">
                  <c:v>5.4888124803462612E-2</c:v>
                </c:pt>
                <c:pt idx="177">
                  <c:v>5.4890854037278725E-2</c:v>
                </c:pt>
                <c:pt idx="178">
                  <c:v>5.4893768083030481E-2</c:v>
                </c:pt>
                <c:pt idx="179">
                  <c:v>5.4896099608361087E-2</c:v>
                </c:pt>
                <c:pt idx="180">
                  <c:v>5.4897846931949011E-2</c:v>
                </c:pt>
                <c:pt idx="181">
                  <c:v>5.48938184479702E-2</c:v>
                </c:pt>
                <c:pt idx="182">
                  <c:v>5.4895318568561086E-2</c:v>
                </c:pt>
                <c:pt idx="183">
                  <c:v>5.4898336474212654E-2</c:v>
                </c:pt>
                <c:pt idx="184">
                  <c:v>5.4901123846832878E-2</c:v>
                </c:pt>
                <c:pt idx="185">
                  <c:v>5.4906320200481855E-2</c:v>
                </c:pt>
                <c:pt idx="186">
                  <c:v>5.4904976291321191E-2</c:v>
                </c:pt>
                <c:pt idx="187">
                  <c:v>5.4912117203296522E-2</c:v>
                </c:pt>
                <c:pt idx="188">
                  <c:v>5.4913055183017222E-2</c:v>
                </c:pt>
                <c:pt idx="189">
                  <c:v>5.4909702936914238E-2</c:v>
                </c:pt>
                <c:pt idx="190">
                  <c:v>5.4906412635787952E-2</c:v>
                </c:pt>
                <c:pt idx="191">
                  <c:v>5.4902373413813647E-2</c:v>
                </c:pt>
                <c:pt idx="192">
                  <c:v>5.49030406513955E-2</c:v>
                </c:pt>
                <c:pt idx="193">
                  <c:v>5.4898189999527509E-2</c:v>
                </c:pt>
                <c:pt idx="194">
                  <c:v>5.489415344261396E-2</c:v>
                </c:pt>
                <c:pt idx="195">
                  <c:v>5.4889977835139395E-2</c:v>
                </c:pt>
                <c:pt idx="196">
                  <c:v>5.4892811191124456E-2</c:v>
                </c:pt>
                <c:pt idx="197">
                  <c:v>5.4895600423175553E-2</c:v>
                </c:pt>
                <c:pt idx="198">
                  <c:v>5.4890338253774769E-2</c:v>
                </c:pt>
                <c:pt idx="199">
                  <c:v>5.4895402063233734E-2</c:v>
                </c:pt>
                <c:pt idx="200">
                  <c:v>5.4899047628488018E-2</c:v>
                </c:pt>
                <c:pt idx="201">
                  <c:v>5.4898725327849208E-2</c:v>
                </c:pt>
                <c:pt idx="202">
                  <c:v>5.4898075525534107E-2</c:v>
                </c:pt>
                <c:pt idx="203">
                  <c:v>5.4897187962121494E-2</c:v>
                </c:pt>
                <c:pt idx="204">
                  <c:v>5.4897813264602739E-2</c:v>
                </c:pt>
                <c:pt idx="205">
                  <c:v>5.4898323467726537E-2</c:v>
                </c:pt>
                <c:pt idx="206">
                  <c:v>5.4894135949318835E-2</c:v>
                </c:pt>
                <c:pt idx="207">
                  <c:v>5.4896585900025156E-2</c:v>
                </c:pt>
                <c:pt idx="208">
                  <c:v>5.4898830680725277E-2</c:v>
                </c:pt>
                <c:pt idx="209">
                  <c:v>5.4904253006422994E-2</c:v>
                </c:pt>
                <c:pt idx="210">
                  <c:v>5.4902898589783963E-2</c:v>
                </c:pt>
                <c:pt idx="211">
                  <c:v>5.490135805096405E-2</c:v>
                </c:pt>
                <c:pt idx="212">
                  <c:v>5.4902869053642549E-2</c:v>
                </c:pt>
                <c:pt idx="213">
                  <c:v>5.490464633292829E-2</c:v>
                </c:pt>
                <c:pt idx="214">
                  <c:v>5.4902206965828849E-2</c:v>
                </c:pt>
                <c:pt idx="215">
                  <c:v>5.4899141120055381E-2</c:v>
                </c:pt>
                <c:pt idx="216">
                  <c:v>5.4897649022337056E-2</c:v>
                </c:pt>
                <c:pt idx="217">
                  <c:v>5.4895103065875549E-2</c:v>
                </c:pt>
                <c:pt idx="218">
                  <c:v>5.4895041670327611E-2</c:v>
                </c:pt>
                <c:pt idx="219">
                  <c:v>5.4899984441165985E-2</c:v>
                </c:pt>
                <c:pt idx="220">
                  <c:v>5.4900083811209456E-2</c:v>
                </c:pt>
                <c:pt idx="221">
                  <c:v>5.4898785597800218E-2</c:v>
                </c:pt>
                <c:pt idx="222">
                  <c:v>5.4898544598681188E-2</c:v>
                </c:pt>
                <c:pt idx="223">
                  <c:v>5.490469947937756E-2</c:v>
                </c:pt>
                <c:pt idx="224">
                  <c:v>5.4905718540429783E-2</c:v>
                </c:pt>
                <c:pt idx="225">
                  <c:v>5.4905319832216672E-2</c:v>
                </c:pt>
                <c:pt idx="226">
                  <c:v>5.4907511117691037E-2</c:v>
                </c:pt>
                <c:pt idx="227">
                  <c:v>5.4907671110711147E-2</c:v>
                </c:pt>
                <c:pt idx="228">
                  <c:v>5.4908488689038908E-2</c:v>
                </c:pt>
                <c:pt idx="229">
                  <c:v>5.4904296848333395E-2</c:v>
                </c:pt>
                <c:pt idx="230">
                  <c:v>5.4898955830992593E-2</c:v>
                </c:pt>
                <c:pt idx="231">
                  <c:v>5.4896803831267528E-2</c:v>
                </c:pt>
                <c:pt idx="232">
                  <c:v>5.4893081600895836E-2</c:v>
                </c:pt>
                <c:pt idx="233">
                  <c:v>5.4894972644337903E-2</c:v>
                </c:pt>
                <c:pt idx="234">
                  <c:v>5.4898333092808782E-2</c:v>
                </c:pt>
                <c:pt idx="235">
                  <c:v>5.4903670128593582E-2</c:v>
                </c:pt>
                <c:pt idx="236">
                  <c:v>5.4899019732084713E-2</c:v>
                </c:pt>
                <c:pt idx="237">
                  <c:v>5.4900125365217108E-2</c:v>
                </c:pt>
                <c:pt idx="238">
                  <c:v>5.489926823571336E-2</c:v>
                </c:pt>
                <c:pt idx="239">
                  <c:v>5.4899011402463456E-2</c:v>
                </c:pt>
                <c:pt idx="240">
                  <c:v>5.4898917647027611E-2</c:v>
                </c:pt>
                <c:pt idx="241">
                  <c:v>5.4895268036656973E-2</c:v>
                </c:pt>
                <c:pt idx="242">
                  <c:v>5.489417521190159E-2</c:v>
                </c:pt>
                <c:pt idx="243">
                  <c:v>5.4892891851586773E-2</c:v>
                </c:pt>
                <c:pt idx="244">
                  <c:v>5.4893574796428368E-2</c:v>
                </c:pt>
                <c:pt idx="245">
                  <c:v>5.4897236355741147E-2</c:v>
                </c:pt>
                <c:pt idx="246">
                  <c:v>5.4891369749838145E-2</c:v>
                </c:pt>
                <c:pt idx="247">
                  <c:v>5.4893475845410114E-2</c:v>
                </c:pt>
                <c:pt idx="248">
                  <c:v>5.4893660005545235E-2</c:v>
                </c:pt>
                <c:pt idx="249">
                  <c:v>5.4895976012151668E-2</c:v>
                </c:pt>
                <c:pt idx="250">
                  <c:v>5.4896004341527013E-2</c:v>
                </c:pt>
                <c:pt idx="251">
                  <c:v>5.4897556380241408E-2</c:v>
                </c:pt>
                <c:pt idx="252">
                  <c:v>5.489625573453185E-2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67-7047-819B-9D9AB1F9F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376"/>
        <c:axId val="1807458095"/>
      </c:lineChart>
      <c:catAx>
        <c:axId val="3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58095"/>
        <c:crosses val="autoZero"/>
        <c:auto val="1"/>
        <c:lblAlgn val="ctr"/>
        <c:lblOffset val="100"/>
        <c:noMultiLvlLbl val="0"/>
      </c:catAx>
      <c:valAx>
        <c:axId val="1807458095"/>
        <c:scaling>
          <c:orientation val="minMax"/>
          <c:min val="5.4800000000000001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22</xdr:col>
      <xdr:colOff>12700</xdr:colOff>
      <xdr:row>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5BD86-73E6-3647-A90B-83A0CE7F8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22</xdr:col>
      <xdr:colOff>25400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968D2-3A51-2045-BD18-8A9823A8B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7</xdr:row>
      <xdr:rowOff>38100</xdr:rowOff>
    </xdr:from>
    <xdr:to>
      <xdr:col>21</xdr:col>
      <xdr:colOff>444500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0979B-1E30-594B-BFE4-DC7478CED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304800</xdr:colOff>
      <xdr:row>26</xdr:row>
      <xdr:rowOff>50800</xdr:rowOff>
    </xdr:from>
    <xdr:to>
      <xdr:col>16</xdr:col>
      <xdr:colOff>767902</xdr:colOff>
      <xdr:row>38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674F3E-BAB7-F340-967D-12C36BC20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1600" y="5359400"/>
          <a:ext cx="4108002" cy="2527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13</xdr:row>
      <xdr:rowOff>12700</xdr:rowOff>
    </xdr:from>
    <xdr:to>
      <xdr:col>14</xdr:col>
      <xdr:colOff>44450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E9FF4-90F5-0443-BB75-DE39F1333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38100</xdr:colOff>
      <xdr:row>2</xdr:row>
      <xdr:rowOff>190500</xdr:rowOff>
    </xdr:from>
    <xdr:to>
      <xdr:col>20</xdr:col>
      <xdr:colOff>12700</xdr:colOff>
      <xdr:row>15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6A2DA9-7F43-484A-B1F2-9A07FF62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54200" y="596900"/>
          <a:ext cx="4102100" cy="2527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7</xdr:row>
      <xdr:rowOff>38100</xdr:rowOff>
    </xdr:from>
    <xdr:to>
      <xdr:col>21</xdr:col>
      <xdr:colOff>444500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47BCE-1402-9742-B63C-88B007335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214745</xdr:colOff>
      <xdr:row>25</xdr:row>
      <xdr:rowOff>96212</xdr:rowOff>
    </xdr:from>
    <xdr:to>
      <xdr:col>14</xdr:col>
      <xdr:colOff>781550</xdr:colOff>
      <xdr:row>27</xdr:row>
      <xdr:rowOff>160703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CD3941-E78A-6943-8F39-E0364E886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3457" y="5166591"/>
          <a:ext cx="2702715" cy="468582"/>
        </a:xfrm>
        <a:prstGeom prst="rect">
          <a:avLst/>
        </a:prstGeom>
      </xdr:spPr>
    </xdr:pic>
    <xdr:clientData/>
  </xdr:twoCellAnchor>
  <xdr:twoCellAnchor editAs="oneCell">
    <xdr:from>
      <xdr:col>12</xdr:col>
      <xdr:colOff>259774</xdr:colOff>
      <xdr:row>27</xdr:row>
      <xdr:rowOff>131235</xdr:rowOff>
    </xdr:from>
    <xdr:to>
      <xdr:col>14</xdr:col>
      <xdr:colOff>885152</xdr:colOff>
      <xdr:row>34</xdr:row>
      <xdr:rowOff>64091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215AEE-E9DE-3448-9C1C-CF4C59525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28486" y="5605705"/>
          <a:ext cx="2761288" cy="13471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13</xdr:row>
      <xdr:rowOff>12700</xdr:rowOff>
    </xdr:from>
    <xdr:to>
      <xdr:col>14</xdr:col>
      <xdr:colOff>44450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F181E-63A2-434D-8C6C-3683733A6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12700</xdr:colOff>
      <xdr:row>4</xdr:row>
      <xdr:rowOff>0</xdr:rowOff>
    </xdr:from>
    <xdr:to>
      <xdr:col>19</xdr:col>
      <xdr:colOff>50800</xdr:colOff>
      <xdr:row>7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E64E29-8031-684C-9697-46235EAB3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28800" y="812800"/>
          <a:ext cx="4102100" cy="7112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50800</xdr:rowOff>
    </xdr:from>
    <xdr:to>
      <xdr:col>19</xdr:col>
      <xdr:colOff>127000</xdr:colOff>
      <xdr:row>17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1C26AF-D3C5-7543-B657-A11E1BE7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16100" y="1473200"/>
          <a:ext cx="4191000" cy="204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home.treasury.gov/resource-center/data-chart-center/interest-rates/TextView?type=daily_treasury_yield_curve&amp;field_tdr_date_value=202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home.treasury.gov/resource-center/data-chart-center/interest-rates/TextView?type=daily_treasury_yield_curve&amp;field_tdr_date_value=20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79C4-31AE-5440-BD2A-317DFC832CD1}">
  <dimension ref="A1:Q164"/>
  <sheetViews>
    <sheetView topLeftCell="D1" zoomScale="150" workbookViewId="0">
      <selection activeCell="G5" sqref="G5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2" t="s">
        <v>15</v>
      </c>
    </row>
    <row r="2" spans="1:17" x14ac:dyDescent="0.2">
      <c r="A2" s="3">
        <v>45527</v>
      </c>
      <c r="B2" s="4">
        <v>5.51</v>
      </c>
      <c r="C2" s="4">
        <v>5.35</v>
      </c>
      <c r="D2" s="4">
        <v>5.25</v>
      </c>
      <c r="E2" s="4">
        <v>5.13</v>
      </c>
      <c r="F2" s="4">
        <v>4.92</v>
      </c>
      <c r="G2" s="4">
        <v>4.3600000000000003</v>
      </c>
      <c r="H2" s="4">
        <v>3.9</v>
      </c>
      <c r="I2" s="4">
        <v>3.73</v>
      </c>
      <c r="J2" s="4">
        <v>3.65</v>
      </c>
      <c r="K2" s="4">
        <v>3.71</v>
      </c>
      <c r="L2" s="4">
        <v>3.81</v>
      </c>
      <c r="M2" s="4">
        <v>4.18</v>
      </c>
      <c r="N2" s="4">
        <v>4.0999999999999996</v>
      </c>
      <c r="P2" s="5"/>
    </row>
    <row r="3" spans="1:17" x14ac:dyDescent="0.2">
      <c r="A3" s="3">
        <v>45526</v>
      </c>
      <c r="B3" s="4">
        <v>5.51</v>
      </c>
      <c r="C3" s="4">
        <v>5.35</v>
      </c>
      <c r="D3" s="4">
        <v>5.28</v>
      </c>
      <c r="E3" s="4">
        <v>5.15</v>
      </c>
      <c r="F3" s="4">
        <v>4.96</v>
      </c>
      <c r="G3" s="4">
        <v>4.43</v>
      </c>
      <c r="H3" s="4">
        <v>3.99</v>
      </c>
      <c r="I3" s="4">
        <v>3.82</v>
      </c>
      <c r="J3" s="4">
        <v>3.72</v>
      </c>
      <c r="K3" s="4">
        <v>3.77</v>
      </c>
      <c r="L3" s="4">
        <v>3.86</v>
      </c>
      <c r="M3" s="4">
        <v>4.21</v>
      </c>
      <c r="N3" s="4">
        <v>4.13</v>
      </c>
    </row>
    <row r="4" spans="1:17" x14ac:dyDescent="0.2">
      <c r="A4" s="3">
        <v>45525</v>
      </c>
      <c r="B4" s="4">
        <v>5.45</v>
      </c>
      <c r="C4" s="4">
        <v>5.33</v>
      </c>
      <c r="D4" s="4">
        <v>5.26</v>
      </c>
      <c r="E4" s="4">
        <v>5.13</v>
      </c>
      <c r="F4" s="4">
        <v>4.92</v>
      </c>
      <c r="G4" s="4">
        <v>4.3600000000000003</v>
      </c>
      <c r="H4" s="4">
        <v>3.92</v>
      </c>
      <c r="I4" s="4">
        <v>3.74</v>
      </c>
      <c r="J4" s="4">
        <v>3.64</v>
      </c>
      <c r="K4" s="4">
        <v>3.69</v>
      </c>
      <c r="L4" s="4">
        <v>3.79</v>
      </c>
      <c r="M4" s="4">
        <v>4.1500000000000004</v>
      </c>
      <c r="N4" s="4">
        <v>4.0599999999999996</v>
      </c>
    </row>
    <row r="5" spans="1:17" x14ac:dyDescent="0.2">
      <c r="A5" s="3">
        <v>45524</v>
      </c>
      <c r="B5" s="4">
        <v>5.48</v>
      </c>
      <c r="C5" s="4">
        <v>5.36</v>
      </c>
      <c r="D5" s="4">
        <v>5.29</v>
      </c>
      <c r="E5" s="4">
        <v>5.17</v>
      </c>
      <c r="F5" s="4">
        <v>4.97</v>
      </c>
      <c r="G5" s="4">
        <v>4.43</v>
      </c>
      <c r="H5" s="4">
        <v>3.99</v>
      </c>
      <c r="I5" s="4">
        <v>3.8</v>
      </c>
      <c r="J5" s="4">
        <v>3.7</v>
      </c>
      <c r="K5" s="4">
        <v>3.73</v>
      </c>
      <c r="L5" s="4">
        <v>3.82</v>
      </c>
      <c r="M5" s="4">
        <v>4.1900000000000004</v>
      </c>
      <c r="N5" s="4">
        <v>4.07</v>
      </c>
    </row>
    <row r="6" spans="1:17" x14ac:dyDescent="0.2">
      <c r="A6" s="3">
        <v>45523</v>
      </c>
      <c r="B6" s="4">
        <v>5.51</v>
      </c>
      <c r="C6" s="4">
        <v>5.39</v>
      </c>
      <c r="D6" s="4">
        <v>5.31</v>
      </c>
      <c r="E6" s="4">
        <v>5.19</v>
      </c>
      <c r="F6" s="4">
        <v>5</v>
      </c>
      <c r="G6" s="4">
        <v>4.4800000000000004</v>
      </c>
      <c r="H6" s="4">
        <v>4.0599999999999996</v>
      </c>
      <c r="I6" s="4">
        <v>3.86</v>
      </c>
      <c r="J6" s="4">
        <v>3.75</v>
      </c>
      <c r="K6" s="4">
        <v>3.78</v>
      </c>
      <c r="L6" s="4">
        <v>3.86</v>
      </c>
      <c r="M6" s="4">
        <v>4.2300000000000004</v>
      </c>
      <c r="N6" s="4">
        <v>4.1100000000000003</v>
      </c>
    </row>
    <row r="7" spans="1:17" x14ac:dyDescent="0.2">
      <c r="A7" s="3">
        <v>45520</v>
      </c>
      <c r="B7" s="4">
        <v>5.53</v>
      </c>
      <c r="C7" s="4">
        <v>5.4</v>
      </c>
      <c r="D7" s="4">
        <v>5.33</v>
      </c>
      <c r="E7" s="4">
        <v>5.21</v>
      </c>
      <c r="F7" s="4">
        <v>5.0199999999999996</v>
      </c>
      <c r="G7" s="4">
        <v>4.49</v>
      </c>
      <c r="H7" s="4">
        <v>4.0599999999999996</v>
      </c>
      <c r="I7" s="4">
        <v>3.87</v>
      </c>
      <c r="J7" s="4">
        <v>3.77</v>
      </c>
      <c r="K7" s="4">
        <v>3.81</v>
      </c>
      <c r="L7" s="4">
        <v>3.89</v>
      </c>
      <c r="M7" s="4">
        <v>4.26</v>
      </c>
      <c r="N7" s="4">
        <v>4.1500000000000004</v>
      </c>
    </row>
    <row r="8" spans="1:17" x14ac:dyDescent="0.2">
      <c r="A8" s="3">
        <v>45519</v>
      </c>
      <c r="B8" s="4">
        <v>5.53</v>
      </c>
      <c r="C8" s="4">
        <v>5.4</v>
      </c>
      <c r="D8" s="4">
        <v>5.34</v>
      </c>
      <c r="E8" s="4">
        <v>5.22</v>
      </c>
      <c r="F8" s="4">
        <v>5.04</v>
      </c>
      <c r="G8" s="4">
        <v>4.5199999999999996</v>
      </c>
      <c r="H8" s="4">
        <v>4.08</v>
      </c>
      <c r="I8" s="4">
        <v>3.9</v>
      </c>
      <c r="J8" s="4">
        <v>3.79</v>
      </c>
      <c r="K8" s="4">
        <v>3.83</v>
      </c>
      <c r="L8" s="4">
        <v>3.92</v>
      </c>
      <c r="M8" s="4">
        <v>4.28</v>
      </c>
      <c r="N8" s="4">
        <v>4.18</v>
      </c>
    </row>
    <row r="9" spans="1:17" x14ac:dyDescent="0.2">
      <c r="A9" s="3">
        <v>45518</v>
      </c>
      <c r="B9" s="4">
        <v>5.49</v>
      </c>
      <c r="C9" s="4">
        <v>5.39</v>
      </c>
      <c r="D9" s="4">
        <v>5.32</v>
      </c>
      <c r="E9" s="4">
        <v>5.21</v>
      </c>
      <c r="F9" s="4">
        <v>5</v>
      </c>
      <c r="G9" s="4">
        <v>4.42</v>
      </c>
      <c r="H9" s="4">
        <v>3.94</v>
      </c>
      <c r="I9" s="4">
        <v>3.76</v>
      </c>
      <c r="J9" s="4">
        <v>3.67</v>
      </c>
      <c r="K9" s="4">
        <v>3.72</v>
      </c>
      <c r="L9" s="4">
        <v>3.83</v>
      </c>
      <c r="M9" s="4">
        <v>4.22</v>
      </c>
      <c r="N9" s="4">
        <v>4.12</v>
      </c>
    </row>
    <row r="10" spans="1:17" x14ac:dyDescent="0.2">
      <c r="A10" s="3">
        <v>45517</v>
      </c>
      <c r="B10" s="4">
        <v>5.48</v>
      </c>
      <c r="C10" s="4">
        <v>5.39</v>
      </c>
      <c r="D10" s="4">
        <v>5.32</v>
      </c>
      <c r="E10" s="4">
        <v>5.18</v>
      </c>
      <c r="F10" s="4">
        <v>4.97</v>
      </c>
      <c r="G10" s="4">
        <v>4.4000000000000004</v>
      </c>
      <c r="H10" s="4">
        <v>3.93</v>
      </c>
      <c r="I10" s="4">
        <v>3.75</v>
      </c>
      <c r="J10" s="4">
        <v>3.68</v>
      </c>
      <c r="K10" s="4">
        <v>3.74</v>
      </c>
      <c r="L10" s="4">
        <v>3.85</v>
      </c>
      <c r="M10" s="4">
        <v>4.25</v>
      </c>
      <c r="N10" s="4">
        <v>4.16</v>
      </c>
    </row>
    <row r="11" spans="1:17" x14ac:dyDescent="0.2">
      <c r="A11" s="3">
        <v>45516</v>
      </c>
      <c r="B11" s="4">
        <v>5.53</v>
      </c>
      <c r="C11" s="4">
        <v>5.4</v>
      </c>
      <c r="D11" s="4">
        <v>5.33</v>
      </c>
      <c r="E11" s="4">
        <v>5.2</v>
      </c>
      <c r="F11" s="4">
        <v>5.0199999999999996</v>
      </c>
      <c r="G11" s="4">
        <v>4.47</v>
      </c>
      <c r="H11" s="4">
        <v>4.01</v>
      </c>
      <c r="I11" s="4">
        <v>3.82</v>
      </c>
      <c r="J11" s="4">
        <v>3.75</v>
      </c>
      <c r="K11" s="4">
        <v>3.8</v>
      </c>
      <c r="L11" s="4">
        <v>3.9</v>
      </c>
      <c r="M11" s="4">
        <v>4.3</v>
      </c>
      <c r="N11" s="4">
        <v>4.1900000000000004</v>
      </c>
    </row>
    <row r="12" spans="1:17" x14ac:dyDescent="0.2">
      <c r="A12" s="3">
        <v>45513</v>
      </c>
      <c r="B12" s="4">
        <v>5.54</v>
      </c>
      <c r="C12" s="4">
        <v>5.4</v>
      </c>
      <c r="D12" s="4">
        <v>5.33</v>
      </c>
      <c r="E12" s="4">
        <v>5.22</v>
      </c>
      <c r="F12" s="4">
        <v>5.0199999999999996</v>
      </c>
      <c r="G12" s="4">
        <v>4.5</v>
      </c>
      <c r="H12" s="4">
        <v>4.05</v>
      </c>
      <c r="I12" s="4">
        <v>3.86</v>
      </c>
      <c r="J12" s="4">
        <v>3.8</v>
      </c>
      <c r="K12" s="4">
        <v>3.85</v>
      </c>
      <c r="L12" s="4">
        <v>3.94</v>
      </c>
      <c r="M12" s="4">
        <v>4.33</v>
      </c>
      <c r="N12" s="4">
        <v>4.2300000000000004</v>
      </c>
    </row>
    <row r="13" spans="1:17" x14ac:dyDescent="0.2">
      <c r="A13" s="3">
        <v>45512</v>
      </c>
      <c r="B13" s="4">
        <v>5.55</v>
      </c>
      <c r="C13" s="4">
        <v>5.42</v>
      </c>
      <c r="D13" s="4">
        <v>5.34</v>
      </c>
      <c r="E13" s="4">
        <v>5.21</v>
      </c>
      <c r="F13" s="4">
        <v>5.01</v>
      </c>
      <c r="G13" s="4">
        <v>4.4800000000000004</v>
      </c>
      <c r="H13" s="4">
        <v>4.04</v>
      </c>
      <c r="I13" s="4">
        <v>3.86</v>
      </c>
      <c r="J13" s="4">
        <v>3.83</v>
      </c>
      <c r="K13" s="4">
        <v>3.89</v>
      </c>
      <c r="L13" s="4">
        <v>3.99</v>
      </c>
      <c r="M13" s="4">
        <v>4.38</v>
      </c>
      <c r="N13" s="4">
        <v>4.28</v>
      </c>
    </row>
    <row r="14" spans="1:17" x14ac:dyDescent="0.2">
      <c r="A14" s="3">
        <v>45511</v>
      </c>
      <c r="B14" s="4">
        <v>5.5</v>
      </c>
      <c r="C14" s="4">
        <v>5.43</v>
      </c>
      <c r="D14" s="4">
        <v>5.34</v>
      </c>
      <c r="E14" s="4">
        <v>5.21</v>
      </c>
      <c r="F14" s="4">
        <v>4.99</v>
      </c>
      <c r="G14" s="4">
        <v>4.45</v>
      </c>
      <c r="H14" s="4">
        <v>4</v>
      </c>
      <c r="I14" s="4">
        <v>3.81</v>
      </c>
      <c r="J14" s="4">
        <v>3.79</v>
      </c>
      <c r="K14" s="4">
        <v>3.85</v>
      </c>
      <c r="L14" s="4">
        <v>3.96</v>
      </c>
      <c r="M14" s="4">
        <v>4.3499999999999996</v>
      </c>
      <c r="N14" s="4">
        <v>4.26</v>
      </c>
    </row>
    <row r="15" spans="1:17" x14ac:dyDescent="0.2">
      <c r="A15" s="3">
        <v>45510</v>
      </c>
      <c r="B15" s="4">
        <v>5.5</v>
      </c>
      <c r="C15" s="4">
        <v>5.43</v>
      </c>
      <c r="D15" s="4">
        <v>5.34</v>
      </c>
      <c r="E15" s="4">
        <v>5.18</v>
      </c>
      <c r="F15" s="4">
        <v>5</v>
      </c>
      <c r="G15" s="4">
        <v>4.46</v>
      </c>
      <c r="H15" s="4">
        <v>3.99</v>
      </c>
      <c r="I15" s="4">
        <v>3.76</v>
      </c>
      <c r="J15" s="4">
        <v>3.73</v>
      </c>
      <c r="K15" s="4">
        <v>3.79</v>
      </c>
      <c r="L15" s="4">
        <v>3.9</v>
      </c>
      <c r="M15" s="4">
        <v>4.28</v>
      </c>
      <c r="N15" s="4">
        <v>4.18</v>
      </c>
    </row>
    <row r="16" spans="1:17" x14ac:dyDescent="0.2">
      <c r="A16" s="3">
        <v>45509</v>
      </c>
      <c r="B16" s="4">
        <v>5.52</v>
      </c>
      <c r="C16" s="4">
        <v>5.43</v>
      </c>
      <c r="D16" s="4">
        <v>5.35</v>
      </c>
      <c r="E16" s="4">
        <v>5.14</v>
      </c>
      <c r="F16" s="4">
        <v>4.91</v>
      </c>
      <c r="G16" s="4">
        <v>4.34</v>
      </c>
      <c r="H16" s="4">
        <v>3.89</v>
      </c>
      <c r="I16" s="4">
        <v>3.71</v>
      </c>
      <c r="J16" s="4">
        <v>3.62</v>
      </c>
      <c r="K16" s="4">
        <v>3.66</v>
      </c>
      <c r="L16" s="4">
        <v>3.78</v>
      </c>
      <c r="M16" s="4">
        <v>4.16</v>
      </c>
      <c r="N16" s="4">
        <v>4.0599999999999996</v>
      </c>
    </row>
    <row r="17" spans="1:14" x14ac:dyDescent="0.2">
      <c r="A17" s="3">
        <v>45506</v>
      </c>
      <c r="B17" s="4">
        <v>5.54</v>
      </c>
      <c r="C17" s="4">
        <v>5.43</v>
      </c>
      <c r="D17" s="4">
        <v>5.29</v>
      </c>
      <c r="E17" s="4">
        <v>5.14</v>
      </c>
      <c r="F17" s="4">
        <v>4.88</v>
      </c>
      <c r="G17" s="4">
        <v>4.33</v>
      </c>
      <c r="H17" s="4">
        <v>3.88</v>
      </c>
      <c r="I17" s="4">
        <v>3.7</v>
      </c>
      <c r="J17" s="4">
        <v>3.62</v>
      </c>
      <c r="K17" s="4">
        <v>3.68</v>
      </c>
      <c r="L17" s="4">
        <v>3.8</v>
      </c>
      <c r="M17" s="4">
        <v>4.1900000000000004</v>
      </c>
      <c r="N17" s="4">
        <v>4.1100000000000003</v>
      </c>
    </row>
    <row r="18" spans="1:14" x14ac:dyDescent="0.2">
      <c r="A18" s="3">
        <v>45505</v>
      </c>
      <c r="B18" s="4">
        <v>5.55</v>
      </c>
      <c r="C18" s="4">
        <v>5.46</v>
      </c>
      <c r="D18" s="4">
        <v>5.37</v>
      </c>
      <c r="E18" s="4">
        <v>5.28</v>
      </c>
      <c r="F18" s="4">
        <v>5.08</v>
      </c>
      <c r="G18" s="4">
        <v>4.62</v>
      </c>
      <c r="H18" s="4">
        <v>4.16</v>
      </c>
      <c r="I18" s="4">
        <v>3.96</v>
      </c>
      <c r="J18" s="4">
        <v>3.84</v>
      </c>
      <c r="K18" s="4">
        <v>3.89</v>
      </c>
      <c r="L18" s="4">
        <v>3.99</v>
      </c>
      <c r="M18" s="4">
        <v>4.3499999999999996</v>
      </c>
      <c r="N18" s="4">
        <v>4.2699999999999996</v>
      </c>
    </row>
    <row r="19" spans="1:14" x14ac:dyDescent="0.2">
      <c r="A19" s="3">
        <v>45504</v>
      </c>
      <c r="B19" s="4">
        <v>5.49</v>
      </c>
      <c r="C19" s="4">
        <v>5.51</v>
      </c>
      <c r="D19" s="4">
        <v>5.41</v>
      </c>
      <c r="E19" s="4">
        <v>5.32</v>
      </c>
      <c r="F19" s="4">
        <v>5.14</v>
      </c>
      <c r="G19" s="4">
        <v>4.7300000000000004</v>
      </c>
      <c r="H19" s="4">
        <v>4.29</v>
      </c>
      <c r="I19" s="4">
        <v>4.0999999999999996</v>
      </c>
      <c r="J19" s="4">
        <v>3.97</v>
      </c>
      <c r="K19" s="4">
        <v>4</v>
      </c>
      <c r="L19" s="4">
        <v>4.09</v>
      </c>
      <c r="M19" s="4">
        <v>4.4400000000000004</v>
      </c>
      <c r="N19" s="4">
        <v>4.3499999999999996</v>
      </c>
    </row>
    <row r="20" spans="1:14" x14ac:dyDescent="0.2">
      <c r="A20" s="3">
        <v>45503</v>
      </c>
      <c r="B20" s="4">
        <v>5.5</v>
      </c>
      <c r="C20" s="4">
        <v>5.5</v>
      </c>
      <c r="D20" s="4">
        <v>5.4</v>
      </c>
      <c r="E20" s="4">
        <v>5.35</v>
      </c>
      <c r="F20" s="4">
        <v>5.16</v>
      </c>
      <c r="G20" s="4">
        <v>4.78</v>
      </c>
      <c r="H20" s="4">
        <v>4.3499999999999996</v>
      </c>
      <c r="I20" s="4">
        <v>4.16</v>
      </c>
      <c r="J20" s="4">
        <v>4.03</v>
      </c>
      <c r="K20" s="4">
        <v>4.0599999999999996</v>
      </c>
      <c r="L20" s="4">
        <v>4.1500000000000004</v>
      </c>
      <c r="M20" s="4">
        <v>4.5</v>
      </c>
      <c r="N20" s="4">
        <v>4.4000000000000004</v>
      </c>
    </row>
    <row r="21" spans="1:14" x14ac:dyDescent="0.2">
      <c r="A21" s="3">
        <v>45502</v>
      </c>
      <c r="B21" s="4">
        <v>5.5</v>
      </c>
      <c r="C21" s="4">
        <v>5.51</v>
      </c>
      <c r="D21" s="4">
        <v>5.41</v>
      </c>
      <c r="E21" s="4">
        <v>5.36</v>
      </c>
      <c r="F21" s="4">
        <v>5.18</v>
      </c>
      <c r="G21" s="4">
        <v>4.79</v>
      </c>
      <c r="H21" s="4">
        <v>4.3600000000000003</v>
      </c>
      <c r="I21" s="4">
        <v>4.1900000000000004</v>
      </c>
      <c r="J21" s="4">
        <v>4.05</v>
      </c>
      <c r="K21" s="4">
        <v>4.08</v>
      </c>
      <c r="L21" s="4">
        <v>4.17</v>
      </c>
      <c r="M21" s="4">
        <v>4.51</v>
      </c>
      <c r="N21" s="4">
        <v>4.42</v>
      </c>
    </row>
    <row r="22" spans="1:14" x14ac:dyDescent="0.2">
      <c r="A22" s="3">
        <v>45499</v>
      </c>
      <c r="B22" s="4">
        <v>5.49</v>
      </c>
      <c r="C22" s="4">
        <v>5.51</v>
      </c>
      <c r="D22" s="4">
        <v>5.38</v>
      </c>
      <c r="E22" s="4">
        <v>5.36</v>
      </c>
      <c r="F22" s="4">
        <v>5.18</v>
      </c>
      <c r="G22" s="4">
        <v>4.79</v>
      </c>
      <c r="H22" s="4">
        <v>4.3600000000000003</v>
      </c>
      <c r="I22" s="4">
        <v>4.2</v>
      </c>
      <c r="J22" s="4">
        <v>4.0599999999999996</v>
      </c>
      <c r="K22" s="4">
        <v>4.0999999999999996</v>
      </c>
      <c r="L22" s="4">
        <v>4.2</v>
      </c>
      <c r="M22" s="4">
        <v>4.53</v>
      </c>
      <c r="N22" s="4">
        <v>4.45</v>
      </c>
    </row>
    <row r="23" spans="1:14" x14ac:dyDescent="0.2">
      <c r="A23" s="3">
        <v>45498</v>
      </c>
      <c r="B23" s="4">
        <v>5.49</v>
      </c>
      <c r="C23" s="4">
        <v>5.52</v>
      </c>
      <c r="D23" s="4">
        <v>5.39</v>
      </c>
      <c r="E23" s="4">
        <v>5.37</v>
      </c>
      <c r="F23" s="4">
        <v>5.19</v>
      </c>
      <c r="G23" s="4">
        <v>4.83</v>
      </c>
      <c r="H23" s="4">
        <v>4.41</v>
      </c>
      <c r="I23" s="4">
        <v>4.26</v>
      </c>
      <c r="J23" s="4">
        <v>4.13</v>
      </c>
      <c r="K23" s="4">
        <v>4.18</v>
      </c>
      <c r="L23" s="4">
        <v>4.2699999999999996</v>
      </c>
      <c r="M23" s="4">
        <v>4.59</v>
      </c>
      <c r="N23" s="4">
        <v>4.5</v>
      </c>
    </row>
    <row r="24" spans="1:14" x14ac:dyDescent="0.2">
      <c r="A24" s="3">
        <v>45497</v>
      </c>
      <c r="B24" s="4">
        <v>5.5</v>
      </c>
      <c r="C24" s="4">
        <v>5.5</v>
      </c>
      <c r="D24" s="4">
        <v>5.4</v>
      </c>
      <c r="E24" s="4">
        <v>5.37</v>
      </c>
      <c r="F24" s="4">
        <v>5.19</v>
      </c>
      <c r="G24" s="4">
        <v>4.82</v>
      </c>
      <c r="H24" s="4">
        <v>4.37</v>
      </c>
      <c r="I24" s="4">
        <v>4.24</v>
      </c>
      <c r="J24" s="4">
        <v>4.12</v>
      </c>
      <c r="K24" s="4">
        <v>4.2</v>
      </c>
      <c r="L24" s="4">
        <v>4.28</v>
      </c>
      <c r="M24" s="4">
        <v>4.62</v>
      </c>
      <c r="N24" s="4">
        <v>4.54</v>
      </c>
    </row>
    <row r="25" spans="1:14" x14ac:dyDescent="0.2">
      <c r="A25" s="3">
        <v>45496</v>
      </c>
      <c r="B25" s="4">
        <v>5.49</v>
      </c>
      <c r="C25" s="4">
        <v>5.51</v>
      </c>
      <c r="D25" s="4">
        <v>5.41</v>
      </c>
      <c r="E25" s="4">
        <v>5.38</v>
      </c>
      <c r="F25" s="4">
        <v>5.22</v>
      </c>
      <c r="G25" s="4">
        <v>4.8499999999999996</v>
      </c>
      <c r="H25" s="4">
        <v>4.4000000000000004</v>
      </c>
      <c r="I25" s="4">
        <v>4.26</v>
      </c>
      <c r="J25" s="4">
        <v>4.1500000000000004</v>
      </c>
      <c r="K25" s="4">
        <v>4.18</v>
      </c>
      <c r="L25" s="4">
        <v>4.25</v>
      </c>
      <c r="M25" s="4">
        <v>4.5599999999999996</v>
      </c>
      <c r="N25" s="4">
        <v>4.4800000000000004</v>
      </c>
    </row>
    <row r="26" spans="1:14" x14ac:dyDescent="0.2">
      <c r="A26" s="3">
        <v>45495</v>
      </c>
      <c r="B26" s="4">
        <v>5.49</v>
      </c>
      <c r="C26" s="4">
        <v>5.51</v>
      </c>
      <c r="D26" s="4">
        <v>5.43</v>
      </c>
      <c r="E26" s="4">
        <v>5.39</v>
      </c>
      <c r="F26" s="4">
        <v>5.24</v>
      </c>
      <c r="G26" s="4">
        <v>4.88</v>
      </c>
      <c r="H26" s="4">
        <v>4.5</v>
      </c>
      <c r="I26" s="4">
        <v>4.29</v>
      </c>
      <c r="J26" s="4">
        <v>4.17</v>
      </c>
      <c r="K26" s="4">
        <v>4.2</v>
      </c>
      <c r="L26" s="4">
        <v>4.26</v>
      </c>
      <c r="M26" s="4">
        <v>4.57</v>
      </c>
      <c r="N26" s="4">
        <v>4.4800000000000004</v>
      </c>
    </row>
    <row r="27" spans="1:14" x14ac:dyDescent="0.2">
      <c r="A27" s="3">
        <v>45492</v>
      </c>
      <c r="B27" s="4">
        <v>5.48</v>
      </c>
      <c r="C27" s="4">
        <v>5.52</v>
      </c>
      <c r="D27" s="4">
        <v>5.43</v>
      </c>
      <c r="E27" s="4">
        <v>5.39</v>
      </c>
      <c r="F27" s="4">
        <v>5.24</v>
      </c>
      <c r="G27" s="4">
        <v>4.87</v>
      </c>
      <c r="H27" s="4">
        <v>4.49</v>
      </c>
      <c r="I27" s="4">
        <v>4.28</v>
      </c>
      <c r="J27" s="4">
        <v>4.16</v>
      </c>
      <c r="K27" s="4">
        <v>4.18</v>
      </c>
      <c r="L27" s="4">
        <v>4.25</v>
      </c>
      <c r="M27" s="4">
        <v>4.55</v>
      </c>
      <c r="N27" s="4">
        <v>4.45</v>
      </c>
    </row>
    <row r="28" spans="1:14" x14ac:dyDescent="0.2">
      <c r="A28" s="3">
        <v>45491</v>
      </c>
      <c r="B28" s="4">
        <v>5.48</v>
      </c>
      <c r="C28" s="4">
        <v>5.52</v>
      </c>
      <c r="D28" s="4">
        <v>5.43</v>
      </c>
      <c r="E28" s="4">
        <v>5.4</v>
      </c>
      <c r="F28" s="4">
        <v>5.23</v>
      </c>
      <c r="G28" s="4">
        <v>4.8600000000000003</v>
      </c>
      <c r="H28" s="4">
        <v>4.46</v>
      </c>
      <c r="I28" s="4">
        <v>4.24</v>
      </c>
      <c r="J28" s="4">
        <v>4.1100000000000003</v>
      </c>
      <c r="K28" s="4">
        <v>4.1399999999999997</v>
      </c>
      <c r="L28" s="4">
        <v>4.2</v>
      </c>
      <c r="M28" s="4">
        <v>4.51</v>
      </c>
      <c r="N28" s="4">
        <v>4.41</v>
      </c>
    </row>
    <row r="29" spans="1:14" x14ac:dyDescent="0.2">
      <c r="A29" s="3">
        <v>45490</v>
      </c>
      <c r="B29" s="4">
        <v>5.47</v>
      </c>
      <c r="C29" s="4">
        <v>5.5</v>
      </c>
      <c r="D29" s="4">
        <v>5.43</v>
      </c>
      <c r="E29" s="4">
        <v>5.4</v>
      </c>
      <c r="F29" s="4">
        <v>5.23</v>
      </c>
      <c r="G29" s="4">
        <v>4.8499999999999996</v>
      </c>
      <c r="H29" s="4">
        <v>4.42</v>
      </c>
      <c r="I29" s="4">
        <v>4.1900000000000004</v>
      </c>
      <c r="J29" s="4">
        <v>4.07</v>
      </c>
      <c r="K29" s="4">
        <v>4.09</v>
      </c>
      <c r="L29" s="4">
        <v>4.16</v>
      </c>
      <c r="M29" s="4">
        <v>4.46</v>
      </c>
      <c r="N29" s="4">
        <v>4.37</v>
      </c>
    </row>
    <row r="30" spans="1:14" x14ac:dyDescent="0.2">
      <c r="A30" s="3">
        <v>45489</v>
      </c>
      <c r="B30" s="4">
        <v>5.48</v>
      </c>
      <c r="C30" s="4">
        <v>5.5</v>
      </c>
      <c r="D30" s="4">
        <v>5.43</v>
      </c>
      <c r="E30" s="4">
        <v>5.4</v>
      </c>
      <c r="F30" s="4">
        <v>5.23</v>
      </c>
      <c r="G30" s="4">
        <v>4.8499999999999996</v>
      </c>
      <c r="H30" s="4">
        <v>4.43</v>
      </c>
      <c r="I30" s="4">
        <v>4.21</v>
      </c>
      <c r="J30" s="4">
        <v>4.09</v>
      </c>
      <c r="K30" s="4">
        <v>4.1100000000000003</v>
      </c>
      <c r="L30" s="4">
        <v>4.17</v>
      </c>
      <c r="M30" s="4">
        <v>4.4800000000000004</v>
      </c>
      <c r="N30" s="4">
        <v>4.38</v>
      </c>
    </row>
    <row r="31" spans="1:14" x14ac:dyDescent="0.2">
      <c r="A31" s="3">
        <v>45488</v>
      </c>
      <c r="B31" s="4">
        <v>5.48</v>
      </c>
      <c r="C31" s="4">
        <v>5.51</v>
      </c>
      <c r="D31" s="4">
        <v>5.43</v>
      </c>
      <c r="E31" s="4">
        <v>5.4</v>
      </c>
      <c r="F31" s="4">
        <v>5.23</v>
      </c>
      <c r="G31" s="4">
        <v>4.8499999999999996</v>
      </c>
      <c r="H31" s="4">
        <v>4.4400000000000004</v>
      </c>
      <c r="I31" s="4">
        <v>4.2300000000000004</v>
      </c>
      <c r="J31" s="4">
        <v>4.13</v>
      </c>
      <c r="K31" s="4">
        <v>4.16</v>
      </c>
      <c r="L31" s="4">
        <v>4.2300000000000004</v>
      </c>
      <c r="M31" s="4">
        <v>4.5599999999999996</v>
      </c>
      <c r="N31" s="4">
        <v>4.46</v>
      </c>
    </row>
    <row r="32" spans="1:14" x14ac:dyDescent="0.2">
      <c r="A32" s="3">
        <v>45485</v>
      </c>
      <c r="B32" s="4">
        <v>5.47</v>
      </c>
      <c r="C32" s="4">
        <v>5.52</v>
      </c>
      <c r="D32" s="4">
        <v>5.43</v>
      </c>
      <c r="E32" s="4">
        <v>5.41</v>
      </c>
      <c r="F32" s="4">
        <v>5.23</v>
      </c>
      <c r="G32" s="4">
        <v>4.87</v>
      </c>
      <c r="H32" s="4">
        <v>4.45</v>
      </c>
      <c r="I32" s="4">
        <v>4.22</v>
      </c>
      <c r="J32" s="4">
        <v>4.0999999999999996</v>
      </c>
      <c r="K32" s="4">
        <v>4.13</v>
      </c>
      <c r="L32" s="4">
        <v>4.18</v>
      </c>
      <c r="M32" s="4">
        <v>4.5</v>
      </c>
      <c r="N32" s="4">
        <v>4.3899999999999997</v>
      </c>
    </row>
    <row r="33" spans="1:14" x14ac:dyDescent="0.2">
      <c r="A33" s="3">
        <v>45484</v>
      </c>
      <c r="B33" s="4">
        <v>5.48</v>
      </c>
      <c r="C33" s="4">
        <v>5.53</v>
      </c>
      <c r="D33" s="4">
        <v>5.44</v>
      </c>
      <c r="E33" s="4">
        <v>5.41</v>
      </c>
      <c r="F33" s="4">
        <v>5.25</v>
      </c>
      <c r="G33" s="4">
        <v>4.91</v>
      </c>
      <c r="H33" s="4">
        <v>4.5</v>
      </c>
      <c r="I33" s="4">
        <v>4.26</v>
      </c>
      <c r="J33" s="4">
        <v>4.13</v>
      </c>
      <c r="K33" s="4">
        <v>4.1500000000000004</v>
      </c>
      <c r="L33" s="4">
        <v>4.2</v>
      </c>
      <c r="M33" s="4">
        <v>4.51</v>
      </c>
      <c r="N33" s="4">
        <v>4.41</v>
      </c>
    </row>
    <row r="34" spans="1:14" x14ac:dyDescent="0.2">
      <c r="A34" s="3">
        <v>45483</v>
      </c>
      <c r="B34" s="4">
        <v>5.46</v>
      </c>
      <c r="C34" s="4">
        <v>5.5</v>
      </c>
      <c r="D34" s="4">
        <v>5.46</v>
      </c>
      <c r="E34" s="4">
        <v>5.46</v>
      </c>
      <c r="F34" s="4">
        <v>5.33</v>
      </c>
      <c r="G34" s="4">
        <v>5.01</v>
      </c>
      <c r="H34" s="4">
        <v>4.62</v>
      </c>
      <c r="I34" s="4">
        <v>4.38</v>
      </c>
      <c r="J34" s="4">
        <v>4.24</v>
      </c>
      <c r="K34" s="4">
        <v>4.24</v>
      </c>
      <c r="L34" s="4">
        <v>4.28</v>
      </c>
      <c r="M34" s="4">
        <v>4.58</v>
      </c>
      <c r="N34" s="4">
        <v>4.47</v>
      </c>
    </row>
    <row r="35" spans="1:14" x14ac:dyDescent="0.2">
      <c r="A35" s="3">
        <v>45482</v>
      </c>
      <c r="B35" s="4">
        <v>5.45</v>
      </c>
      <c r="C35" s="4">
        <v>5.51</v>
      </c>
      <c r="D35" s="4">
        <v>5.46</v>
      </c>
      <c r="E35" s="4">
        <v>5.46</v>
      </c>
      <c r="F35" s="4">
        <v>5.34</v>
      </c>
      <c r="G35" s="4">
        <v>5.0199999999999996</v>
      </c>
      <c r="H35" s="4">
        <v>4.62</v>
      </c>
      <c r="I35" s="4">
        <v>4.37</v>
      </c>
      <c r="J35" s="4">
        <v>4.24</v>
      </c>
      <c r="K35" s="4">
        <v>4.25</v>
      </c>
      <c r="L35" s="4">
        <v>4.3</v>
      </c>
      <c r="M35" s="4">
        <v>4.59</v>
      </c>
      <c r="N35" s="4">
        <v>4.49</v>
      </c>
    </row>
    <row r="36" spans="1:14" x14ac:dyDescent="0.2">
      <c r="A36" s="3">
        <v>45481</v>
      </c>
      <c r="B36" s="4">
        <v>5.48</v>
      </c>
      <c r="C36" s="4">
        <v>5.53</v>
      </c>
      <c r="D36" s="4">
        <v>5.46</v>
      </c>
      <c r="E36" s="4">
        <v>5.46</v>
      </c>
      <c r="F36" s="4">
        <v>5.33</v>
      </c>
      <c r="G36" s="4">
        <v>4.99</v>
      </c>
      <c r="H36" s="4">
        <v>4.62</v>
      </c>
      <c r="I36" s="4">
        <v>4.4000000000000004</v>
      </c>
      <c r="J36" s="4">
        <v>4.2300000000000004</v>
      </c>
      <c r="K36" s="4">
        <v>4.2300000000000004</v>
      </c>
      <c r="L36" s="4">
        <v>4.28</v>
      </c>
      <c r="M36" s="4">
        <v>4.57</v>
      </c>
      <c r="N36" s="4">
        <v>4.46</v>
      </c>
    </row>
    <row r="37" spans="1:14" x14ac:dyDescent="0.2">
      <c r="A37" s="3">
        <v>45478</v>
      </c>
      <c r="B37" s="4">
        <v>5.48</v>
      </c>
      <c r="C37" s="4">
        <v>5.53</v>
      </c>
      <c r="D37" s="4">
        <v>5.46</v>
      </c>
      <c r="E37" s="4">
        <v>5.46</v>
      </c>
      <c r="F37" s="4">
        <v>5.34</v>
      </c>
      <c r="G37" s="4">
        <v>4.9800000000000004</v>
      </c>
      <c r="H37" s="4">
        <v>4.5999999999999996</v>
      </c>
      <c r="I37" s="4">
        <v>4.3899999999999997</v>
      </c>
      <c r="J37" s="4">
        <v>4.22</v>
      </c>
      <c r="K37" s="4">
        <v>4.2300000000000004</v>
      </c>
      <c r="L37" s="4">
        <v>4.28</v>
      </c>
      <c r="M37" s="4">
        <v>4.57</v>
      </c>
      <c r="N37" s="4">
        <v>4.47</v>
      </c>
    </row>
    <row r="38" spans="1:14" x14ac:dyDescent="0.2">
      <c r="A38" s="3">
        <v>45476</v>
      </c>
      <c r="B38" s="4">
        <v>5.49</v>
      </c>
      <c r="C38" s="4">
        <v>5.54</v>
      </c>
      <c r="D38" s="4">
        <v>5.47</v>
      </c>
      <c r="E38" s="4">
        <v>5.47</v>
      </c>
      <c r="F38" s="4">
        <v>5.36</v>
      </c>
      <c r="G38" s="4">
        <v>5.04</v>
      </c>
      <c r="H38" s="4">
        <v>4.71</v>
      </c>
      <c r="I38" s="4">
        <v>4.4800000000000004</v>
      </c>
      <c r="J38" s="4">
        <v>4.33</v>
      </c>
      <c r="K38" s="4">
        <v>4.33</v>
      </c>
      <c r="L38" s="4">
        <v>4.3600000000000003</v>
      </c>
      <c r="M38" s="4">
        <v>4.6399999999999997</v>
      </c>
      <c r="N38" s="4">
        <v>4.53</v>
      </c>
    </row>
    <row r="39" spans="1:14" x14ac:dyDescent="0.2">
      <c r="A39" s="3">
        <v>45475</v>
      </c>
      <c r="B39" s="4">
        <v>5.48</v>
      </c>
      <c r="C39" s="4">
        <v>5.47</v>
      </c>
      <c r="D39" s="4">
        <v>5.47</v>
      </c>
      <c r="E39" s="4">
        <v>5.44</v>
      </c>
      <c r="F39" s="4">
        <v>5.36</v>
      </c>
      <c r="G39" s="4">
        <v>5.07</v>
      </c>
      <c r="H39" s="4">
        <v>4.74</v>
      </c>
      <c r="I39" s="4">
        <v>4.54</v>
      </c>
      <c r="J39" s="4">
        <v>4.3899999999999997</v>
      </c>
      <c r="K39" s="4">
        <v>4.4000000000000004</v>
      </c>
      <c r="L39" s="4">
        <v>4.43</v>
      </c>
      <c r="M39" s="4">
        <v>4.71</v>
      </c>
      <c r="N39" s="4">
        <v>4.5999999999999996</v>
      </c>
    </row>
    <row r="40" spans="1:14" x14ac:dyDescent="0.2">
      <c r="A40" s="3">
        <v>45474</v>
      </c>
      <c r="B40" s="4">
        <v>5.48</v>
      </c>
      <c r="C40" s="4">
        <v>5.48</v>
      </c>
      <c r="D40" s="4">
        <v>5.47</v>
      </c>
      <c r="E40" s="4">
        <v>5.45</v>
      </c>
      <c r="F40" s="4">
        <v>5.37</v>
      </c>
      <c r="G40" s="4">
        <v>5.0999999999999996</v>
      </c>
      <c r="H40" s="4">
        <v>4.7699999999999996</v>
      </c>
      <c r="I40" s="4">
        <v>4.58</v>
      </c>
      <c r="J40" s="4">
        <v>4.4400000000000004</v>
      </c>
      <c r="K40" s="4">
        <v>4.45</v>
      </c>
      <c r="L40" s="4">
        <v>4.4800000000000004</v>
      </c>
      <c r="M40" s="4">
        <v>4.76</v>
      </c>
      <c r="N40" s="4">
        <v>4.6399999999999997</v>
      </c>
    </row>
    <row r="41" spans="1:14" x14ac:dyDescent="0.2">
      <c r="A41" s="3">
        <v>45471</v>
      </c>
      <c r="B41" s="4">
        <v>5.47</v>
      </c>
      <c r="C41" s="4">
        <v>5.47</v>
      </c>
      <c r="D41" s="4">
        <v>5.48</v>
      </c>
      <c r="E41" s="4">
        <v>5.45</v>
      </c>
      <c r="F41" s="4">
        <v>5.33</v>
      </c>
      <c r="G41" s="4">
        <v>5.09</v>
      </c>
      <c r="H41" s="4">
        <v>4.71</v>
      </c>
      <c r="I41" s="4">
        <v>4.5199999999999996</v>
      </c>
      <c r="J41" s="4">
        <v>4.33</v>
      </c>
      <c r="K41" s="4">
        <v>4.33</v>
      </c>
      <c r="L41" s="4">
        <v>4.3600000000000003</v>
      </c>
      <c r="M41" s="4">
        <v>4.6100000000000003</v>
      </c>
      <c r="N41" s="4">
        <v>4.51</v>
      </c>
    </row>
    <row r="42" spans="1:14" x14ac:dyDescent="0.2">
      <c r="A42" s="3">
        <v>45470</v>
      </c>
      <c r="B42" s="4">
        <v>5.48</v>
      </c>
      <c r="C42" s="4">
        <v>5.46</v>
      </c>
      <c r="D42" s="4">
        <v>5.49</v>
      </c>
      <c r="E42" s="4">
        <v>5.45</v>
      </c>
      <c r="F42" s="4">
        <v>5.35</v>
      </c>
      <c r="G42" s="4">
        <v>5.0999999999999996</v>
      </c>
      <c r="H42" s="4">
        <v>4.7</v>
      </c>
      <c r="I42" s="4">
        <v>4.49</v>
      </c>
      <c r="J42" s="4">
        <v>4.29</v>
      </c>
      <c r="K42" s="4">
        <v>4.2699999999999996</v>
      </c>
      <c r="L42" s="4">
        <v>4.29</v>
      </c>
      <c r="M42" s="4">
        <v>4.53</v>
      </c>
      <c r="N42" s="4">
        <v>4.43</v>
      </c>
    </row>
    <row r="43" spans="1:14" x14ac:dyDescent="0.2">
      <c r="A43" s="3">
        <v>45469</v>
      </c>
      <c r="B43" s="4">
        <v>5.44</v>
      </c>
      <c r="C43" s="4">
        <v>5.46</v>
      </c>
      <c r="D43" s="4">
        <v>5.5</v>
      </c>
      <c r="E43" s="4">
        <v>5.46</v>
      </c>
      <c r="F43" s="4">
        <v>5.36</v>
      </c>
      <c r="G43" s="4">
        <v>5.13</v>
      </c>
      <c r="H43" s="4">
        <v>4.71</v>
      </c>
      <c r="I43" s="4">
        <v>4.53</v>
      </c>
      <c r="J43" s="4">
        <v>4.32</v>
      </c>
      <c r="K43" s="4">
        <v>4.32</v>
      </c>
      <c r="L43" s="4">
        <v>4.32</v>
      </c>
      <c r="M43" s="4">
        <v>4.55</v>
      </c>
      <c r="N43" s="4">
        <v>4.45</v>
      </c>
    </row>
    <row r="44" spans="1:14" x14ac:dyDescent="0.2">
      <c r="A44" s="3">
        <v>45468</v>
      </c>
      <c r="B44" s="4">
        <v>5.43</v>
      </c>
      <c r="C44" s="4">
        <v>5.46</v>
      </c>
      <c r="D44" s="4">
        <v>5.49</v>
      </c>
      <c r="E44" s="4">
        <v>5.44</v>
      </c>
      <c r="F44" s="4">
        <v>5.37</v>
      </c>
      <c r="G44" s="4">
        <v>5.0999999999999996</v>
      </c>
      <c r="H44" s="4">
        <v>4.6500000000000004</v>
      </c>
      <c r="I44" s="4">
        <v>4.45</v>
      </c>
      <c r="J44" s="4">
        <v>4.25</v>
      </c>
      <c r="K44" s="4">
        <v>4.2300000000000004</v>
      </c>
      <c r="L44" s="4">
        <v>4.2300000000000004</v>
      </c>
      <c r="M44" s="4">
        <v>4.46</v>
      </c>
      <c r="N44" s="4">
        <v>4.3600000000000003</v>
      </c>
    </row>
    <row r="45" spans="1:14" x14ac:dyDescent="0.2">
      <c r="A45" s="3">
        <v>45467</v>
      </c>
      <c r="B45" s="4">
        <v>5.42</v>
      </c>
      <c r="C45" s="4">
        <v>5.46</v>
      </c>
      <c r="D45" s="4">
        <v>5.5</v>
      </c>
      <c r="E45" s="4">
        <v>5.45</v>
      </c>
      <c r="F45" s="4">
        <v>5.37</v>
      </c>
      <c r="G45" s="4">
        <v>5.0999999999999996</v>
      </c>
      <c r="H45" s="4">
        <v>4.71</v>
      </c>
      <c r="I45" s="4">
        <v>4.46</v>
      </c>
      <c r="J45" s="4">
        <v>4.2699999999999996</v>
      </c>
      <c r="K45" s="4">
        <v>4.25</v>
      </c>
      <c r="L45" s="4">
        <v>4.25</v>
      </c>
      <c r="M45" s="4">
        <v>4.4800000000000004</v>
      </c>
      <c r="N45" s="4">
        <v>4.38</v>
      </c>
    </row>
    <row r="46" spans="1:14" x14ac:dyDescent="0.2">
      <c r="A46" s="3">
        <v>45464</v>
      </c>
      <c r="B46" s="4">
        <v>5.42</v>
      </c>
      <c r="C46" s="4">
        <v>5.46</v>
      </c>
      <c r="D46" s="4">
        <v>5.49</v>
      </c>
      <c r="E46" s="4">
        <v>5.45</v>
      </c>
      <c r="F46" s="4">
        <v>5.36</v>
      </c>
      <c r="G46" s="4">
        <v>5.0999999999999996</v>
      </c>
      <c r="H46" s="4">
        <v>4.7</v>
      </c>
      <c r="I46" s="4">
        <v>4.45</v>
      </c>
      <c r="J46" s="4">
        <v>4.26</v>
      </c>
      <c r="K46" s="4">
        <v>4.25</v>
      </c>
      <c r="L46" s="4">
        <v>4.25</v>
      </c>
      <c r="M46" s="4">
        <v>4.49</v>
      </c>
      <c r="N46" s="4">
        <v>4.3899999999999997</v>
      </c>
    </row>
    <row r="47" spans="1:14" x14ac:dyDescent="0.2">
      <c r="A47" s="3">
        <v>45463</v>
      </c>
      <c r="B47" s="4">
        <v>5.42</v>
      </c>
      <c r="C47" s="4">
        <v>5.46</v>
      </c>
      <c r="D47" s="4">
        <v>5.5</v>
      </c>
      <c r="E47" s="4">
        <v>5.46</v>
      </c>
      <c r="F47" s="4">
        <v>5.37</v>
      </c>
      <c r="G47" s="4">
        <v>5.0999999999999996</v>
      </c>
      <c r="H47" s="4">
        <v>4.7</v>
      </c>
      <c r="I47" s="4">
        <v>4.45</v>
      </c>
      <c r="J47" s="4">
        <v>4.26</v>
      </c>
      <c r="K47" s="4">
        <v>4.25</v>
      </c>
      <c r="L47" s="4">
        <v>4.25</v>
      </c>
      <c r="M47" s="4">
        <v>4.49</v>
      </c>
      <c r="N47" s="4">
        <v>4.3899999999999997</v>
      </c>
    </row>
    <row r="48" spans="1:14" x14ac:dyDescent="0.2">
      <c r="A48" s="3">
        <v>45461</v>
      </c>
      <c r="B48" s="4">
        <v>5.4</v>
      </c>
      <c r="C48" s="4">
        <v>5.46</v>
      </c>
      <c r="D48" s="4">
        <v>5.5</v>
      </c>
      <c r="E48" s="4">
        <v>5.45</v>
      </c>
      <c r="F48" s="4">
        <v>5.37</v>
      </c>
      <c r="G48" s="4">
        <v>5.09</v>
      </c>
      <c r="H48" s="4">
        <v>4.6900000000000004</v>
      </c>
      <c r="I48" s="4">
        <v>4.43</v>
      </c>
      <c r="J48" s="4">
        <v>4.24</v>
      </c>
      <c r="K48" s="4">
        <v>4.22</v>
      </c>
      <c r="L48" s="4">
        <v>4.22</v>
      </c>
      <c r="M48" s="4">
        <v>4.47</v>
      </c>
      <c r="N48" s="4">
        <v>4.3600000000000003</v>
      </c>
    </row>
    <row r="49" spans="1:14" x14ac:dyDescent="0.2">
      <c r="A49" s="3">
        <v>45460</v>
      </c>
      <c r="B49" s="4">
        <v>5.45</v>
      </c>
      <c r="C49" s="4">
        <v>5.47</v>
      </c>
      <c r="D49" s="4">
        <v>5.52</v>
      </c>
      <c r="E49" s="4">
        <v>5.46</v>
      </c>
      <c r="F49" s="4">
        <v>5.39</v>
      </c>
      <c r="G49" s="4">
        <v>5.1100000000000003</v>
      </c>
      <c r="H49" s="4">
        <v>4.75</v>
      </c>
      <c r="I49" s="4">
        <v>4.5</v>
      </c>
      <c r="J49" s="4">
        <v>4.3</v>
      </c>
      <c r="K49" s="4">
        <v>4.28</v>
      </c>
      <c r="L49" s="4">
        <v>4.28</v>
      </c>
      <c r="M49" s="4">
        <v>4.5199999999999996</v>
      </c>
      <c r="N49" s="4">
        <v>4.4000000000000004</v>
      </c>
    </row>
    <row r="50" spans="1:14" x14ac:dyDescent="0.2">
      <c r="A50" s="3">
        <v>45457</v>
      </c>
      <c r="B50" s="4">
        <v>5.47</v>
      </c>
      <c r="C50" s="4">
        <v>5.47</v>
      </c>
      <c r="D50" s="4">
        <v>5.51</v>
      </c>
      <c r="E50" s="4">
        <v>5.45</v>
      </c>
      <c r="F50" s="4">
        <v>5.36</v>
      </c>
      <c r="G50" s="4">
        <v>5.07</v>
      </c>
      <c r="H50" s="4">
        <v>4.67</v>
      </c>
      <c r="I50" s="4">
        <v>4.41</v>
      </c>
      <c r="J50" s="4">
        <v>4.22</v>
      </c>
      <c r="K50" s="4">
        <v>4.2</v>
      </c>
      <c r="L50" s="4">
        <v>4.2</v>
      </c>
      <c r="M50" s="4">
        <v>4.46</v>
      </c>
      <c r="N50" s="4">
        <v>4.34</v>
      </c>
    </row>
    <row r="51" spans="1:14" x14ac:dyDescent="0.2">
      <c r="A51" s="3">
        <v>45456</v>
      </c>
      <c r="B51" s="4">
        <v>5.47</v>
      </c>
      <c r="C51" s="4">
        <v>5.47</v>
      </c>
      <c r="D51" s="4">
        <v>5.51</v>
      </c>
      <c r="E51" s="4">
        <v>5.45</v>
      </c>
      <c r="F51" s="4">
        <v>5.36</v>
      </c>
      <c r="G51" s="4">
        <v>5.07</v>
      </c>
      <c r="H51" s="4">
        <v>4.68</v>
      </c>
      <c r="I51" s="4">
        <v>4.42</v>
      </c>
      <c r="J51" s="4">
        <v>4.24</v>
      </c>
      <c r="K51" s="4">
        <v>4.2300000000000004</v>
      </c>
      <c r="L51" s="4">
        <v>4.24</v>
      </c>
      <c r="M51" s="4">
        <v>4.5</v>
      </c>
      <c r="N51" s="4">
        <v>4.4000000000000004</v>
      </c>
    </row>
    <row r="52" spans="1:14" x14ac:dyDescent="0.2">
      <c r="A52" s="3">
        <v>45455</v>
      </c>
      <c r="B52" s="4">
        <v>5.47</v>
      </c>
      <c r="C52" s="4">
        <v>5.47</v>
      </c>
      <c r="D52" s="4">
        <v>5.51</v>
      </c>
      <c r="E52" s="4">
        <v>5.47</v>
      </c>
      <c r="F52" s="4">
        <v>5.38</v>
      </c>
      <c r="G52" s="4">
        <v>5.13</v>
      </c>
      <c r="H52" s="4">
        <v>4.75</v>
      </c>
      <c r="I52" s="4">
        <v>4.4800000000000004</v>
      </c>
      <c r="J52" s="4">
        <v>4.32</v>
      </c>
      <c r="K52" s="4">
        <v>4.3099999999999996</v>
      </c>
      <c r="L52" s="4">
        <v>4.3099999999999996</v>
      </c>
      <c r="M52" s="4">
        <v>4.5599999999999996</v>
      </c>
      <c r="N52" s="4">
        <v>4.47</v>
      </c>
    </row>
    <row r="53" spans="1:14" x14ac:dyDescent="0.2">
      <c r="A53" s="3">
        <v>45454</v>
      </c>
      <c r="B53" s="4">
        <v>5.46</v>
      </c>
      <c r="C53" s="4">
        <v>5.47</v>
      </c>
      <c r="D53" s="4">
        <v>5.52</v>
      </c>
      <c r="E53" s="4">
        <v>5.46</v>
      </c>
      <c r="F53" s="4">
        <v>5.39</v>
      </c>
      <c r="G53" s="4">
        <v>5.17</v>
      </c>
      <c r="H53" s="4">
        <v>4.8099999999999996</v>
      </c>
      <c r="I53" s="4">
        <v>4.57</v>
      </c>
      <c r="J53" s="4">
        <v>4.41</v>
      </c>
      <c r="K53" s="4">
        <v>4.4000000000000004</v>
      </c>
      <c r="L53" s="4">
        <v>4.3899999999999997</v>
      </c>
      <c r="M53" s="4">
        <v>4.62</v>
      </c>
      <c r="N53" s="4">
        <v>4.53</v>
      </c>
    </row>
    <row r="54" spans="1:14" x14ac:dyDescent="0.2">
      <c r="A54" s="3">
        <v>45453</v>
      </c>
      <c r="B54" s="4">
        <v>5.47</v>
      </c>
      <c r="C54" s="4">
        <v>5.48</v>
      </c>
      <c r="D54" s="4">
        <v>5.52</v>
      </c>
      <c r="E54" s="4">
        <v>5.46</v>
      </c>
      <c r="F54" s="4">
        <v>5.4</v>
      </c>
      <c r="G54" s="4">
        <v>5.16</v>
      </c>
      <c r="H54" s="4">
        <v>4.87</v>
      </c>
      <c r="I54" s="4">
        <v>4.62</v>
      </c>
      <c r="J54" s="4">
        <v>4.4800000000000004</v>
      </c>
      <c r="K54" s="4">
        <v>4.47</v>
      </c>
      <c r="L54" s="4">
        <v>4.47</v>
      </c>
      <c r="M54" s="4">
        <v>4.68</v>
      </c>
      <c r="N54" s="4">
        <v>4.59</v>
      </c>
    </row>
    <row r="55" spans="1:14" x14ac:dyDescent="0.2">
      <c r="A55" s="3">
        <v>45450</v>
      </c>
      <c r="B55" s="4">
        <v>5.47</v>
      </c>
      <c r="C55" s="4">
        <v>5.47</v>
      </c>
      <c r="D55" s="4">
        <v>5.52</v>
      </c>
      <c r="E55" s="4">
        <v>5.47</v>
      </c>
      <c r="F55" s="4">
        <v>5.4</v>
      </c>
      <c r="G55" s="4">
        <v>5.17</v>
      </c>
      <c r="H55" s="4">
        <v>4.87</v>
      </c>
      <c r="I55" s="4">
        <v>4.6500000000000004</v>
      </c>
      <c r="J55" s="4">
        <v>4.46</v>
      </c>
      <c r="K55" s="4">
        <v>4.45</v>
      </c>
      <c r="L55" s="4">
        <v>4.43</v>
      </c>
      <c r="M55" s="4">
        <v>4.6399999999999997</v>
      </c>
      <c r="N55" s="4">
        <v>4.55</v>
      </c>
    </row>
    <row r="56" spans="1:14" x14ac:dyDescent="0.2">
      <c r="A56" s="3">
        <v>45449</v>
      </c>
      <c r="B56" s="4">
        <v>5.48</v>
      </c>
      <c r="C56" s="4">
        <v>5.47</v>
      </c>
      <c r="D56" s="4">
        <v>5.51</v>
      </c>
      <c r="E56" s="4">
        <v>5.45</v>
      </c>
      <c r="F56" s="4">
        <v>5.36</v>
      </c>
      <c r="G56" s="4">
        <v>5.08</v>
      </c>
      <c r="H56" s="4">
        <v>4.72</v>
      </c>
      <c r="I56" s="4">
        <v>4.49</v>
      </c>
      <c r="J56" s="4">
        <v>4.29</v>
      </c>
      <c r="K56" s="4">
        <v>4.28</v>
      </c>
      <c r="L56" s="4">
        <v>4.28</v>
      </c>
      <c r="M56" s="4">
        <v>4.51</v>
      </c>
      <c r="N56" s="4">
        <v>4.43</v>
      </c>
    </row>
    <row r="57" spans="1:14" x14ac:dyDescent="0.2">
      <c r="A57" s="3">
        <v>45448</v>
      </c>
      <c r="B57" s="4">
        <v>5.48</v>
      </c>
      <c r="C57" s="4">
        <v>5.48</v>
      </c>
      <c r="D57" s="4">
        <v>5.51</v>
      </c>
      <c r="E57" s="4">
        <v>5.46</v>
      </c>
      <c r="F57" s="4">
        <v>5.37</v>
      </c>
      <c r="G57" s="4">
        <v>5.08</v>
      </c>
      <c r="H57" s="4">
        <v>4.72</v>
      </c>
      <c r="I57" s="4">
        <v>4.5</v>
      </c>
      <c r="J57" s="4">
        <v>4.3099999999999996</v>
      </c>
      <c r="K57" s="4">
        <v>4.29</v>
      </c>
      <c r="L57" s="4">
        <v>4.29</v>
      </c>
      <c r="M57" s="4">
        <v>4.5199999999999996</v>
      </c>
      <c r="N57" s="4">
        <v>4.4400000000000004</v>
      </c>
    </row>
    <row r="58" spans="1:14" x14ac:dyDescent="0.2">
      <c r="A58" s="3">
        <v>45447</v>
      </c>
      <c r="B58" s="4">
        <v>5.48</v>
      </c>
      <c r="C58" s="4">
        <v>5.48</v>
      </c>
      <c r="D58" s="4">
        <v>5.52</v>
      </c>
      <c r="E58" s="4">
        <v>5.45</v>
      </c>
      <c r="F58" s="4">
        <v>5.38</v>
      </c>
      <c r="G58" s="4">
        <v>5.1100000000000003</v>
      </c>
      <c r="H58" s="4">
        <v>4.7699999999999996</v>
      </c>
      <c r="I58" s="4">
        <v>4.55</v>
      </c>
      <c r="J58" s="4">
        <v>4.3499999999999996</v>
      </c>
      <c r="K58" s="4">
        <v>4.33</v>
      </c>
      <c r="L58" s="4">
        <v>4.33</v>
      </c>
      <c r="M58" s="4">
        <v>4.5599999999999996</v>
      </c>
      <c r="N58" s="4">
        <v>4.4800000000000004</v>
      </c>
    </row>
    <row r="59" spans="1:14" x14ac:dyDescent="0.2">
      <c r="A59" s="3">
        <v>45446</v>
      </c>
      <c r="B59" s="4">
        <v>5.49</v>
      </c>
      <c r="C59" s="4">
        <v>5.49</v>
      </c>
      <c r="D59" s="4">
        <v>5.52</v>
      </c>
      <c r="E59" s="4">
        <v>5.46</v>
      </c>
      <c r="F59" s="4">
        <v>5.39</v>
      </c>
      <c r="G59" s="4">
        <v>5.14</v>
      </c>
      <c r="H59" s="4">
        <v>4.82</v>
      </c>
      <c r="I59" s="4">
        <v>4.62</v>
      </c>
      <c r="J59" s="4">
        <v>4.42</v>
      </c>
      <c r="K59" s="4">
        <v>4.41</v>
      </c>
      <c r="L59" s="4">
        <v>4.41</v>
      </c>
      <c r="M59" s="4">
        <v>4.63</v>
      </c>
      <c r="N59" s="4">
        <v>4.55</v>
      </c>
    </row>
    <row r="60" spans="1:14" x14ac:dyDescent="0.2">
      <c r="A60" s="3">
        <v>45443</v>
      </c>
      <c r="B60" s="4">
        <v>5.48</v>
      </c>
      <c r="C60" s="4">
        <v>5.48</v>
      </c>
      <c r="D60" s="4">
        <v>5.46</v>
      </c>
      <c r="E60" s="4">
        <v>5.46</v>
      </c>
      <c r="F60" s="4">
        <v>5.42</v>
      </c>
      <c r="G60" s="4">
        <v>5.18</v>
      </c>
      <c r="H60" s="4">
        <v>4.8899999999999997</v>
      </c>
      <c r="I60" s="4">
        <v>4.6900000000000004</v>
      </c>
      <c r="J60" s="4">
        <v>4.5199999999999996</v>
      </c>
      <c r="K60" s="4">
        <v>4.5199999999999996</v>
      </c>
      <c r="L60" s="4">
        <v>4.51</v>
      </c>
      <c r="M60" s="4">
        <v>4.7300000000000004</v>
      </c>
      <c r="N60" s="4">
        <v>4.6500000000000004</v>
      </c>
    </row>
    <row r="61" spans="1:14" x14ac:dyDescent="0.2">
      <c r="A61" s="3">
        <v>45442</v>
      </c>
      <c r="B61" s="4">
        <v>5.48</v>
      </c>
      <c r="C61" s="4">
        <v>5.48</v>
      </c>
      <c r="D61" s="4">
        <v>5.46</v>
      </c>
      <c r="E61" s="4">
        <v>5.48</v>
      </c>
      <c r="F61" s="4">
        <v>5.42</v>
      </c>
      <c r="G61" s="4">
        <v>5.19</v>
      </c>
      <c r="H61" s="4">
        <v>4.92</v>
      </c>
      <c r="I61" s="4">
        <v>4.74</v>
      </c>
      <c r="J61" s="4">
        <v>4.57</v>
      </c>
      <c r="K61" s="4">
        <v>4.57</v>
      </c>
      <c r="L61" s="4">
        <v>4.55</v>
      </c>
      <c r="M61" s="4">
        <v>4.76</v>
      </c>
      <c r="N61" s="4">
        <v>4.6900000000000004</v>
      </c>
    </row>
    <row r="62" spans="1:14" x14ac:dyDescent="0.2">
      <c r="A62" s="3">
        <v>45441</v>
      </c>
      <c r="B62" s="4">
        <v>5.5</v>
      </c>
      <c r="C62" s="4">
        <v>5.48</v>
      </c>
      <c r="D62" s="4">
        <v>5.46</v>
      </c>
      <c r="E62" s="4">
        <v>5.47</v>
      </c>
      <c r="F62" s="4">
        <v>5.43</v>
      </c>
      <c r="G62" s="4">
        <v>5.22</v>
      </c>
      <c r="H62" s="4">
        <v>4.96</v>
      </c>
      <c r="I62" s="4">
        <v>4.79</v>
      </c>
      <c r="J62" s="4">
        <v>4.63</v>
      </c>
      <c r="K62" s="4">
        <v>4.63</v>
      </c>
      <c r="L62" s="4">
        <v>4.6100000000000003</v>
      </c>
      <c r="M62" s="4">
        <v>4.82</v>
      </c>
      <c r="N62" s="4">
        <v>4.74</v>
      </c>
    </row>
    <row r="63" spans="1:14" x14ac:dyDescent="0.2">
      <c r="A63" s="3">
        <v>45440</v>
      </c>
      <c r="B63" s="4">
        <v>5.5</v>
      </c>
      <c r="C63" s="4">
        <v>5.48</v>
      </c>
      <c r="D63" s="4">
        <v>5.46</v>
      </c>
      <c r="E63" s="4">
        <v>5.51</v>
      </c>
      <c r="F63" s="4">
        <v>5.43</v>
      </c>
      <c r="G63" s="4">
        <v>5.21</v>
      </c>
      <c r="H63" s="4">
        <v>4.9400000000000004</v>
      </c>
      <c r="I63" s="4">
        <v>4.75</v>
      </c>
      <c r="J63" s="4">
        <v>4.5599999999999996</v>
      </c>
      <c r="K63" s="4">
        <v>4.5599999999999996</v>
      </c>
      <c r="L63" s="4">
        <v>4.54</v>
      </c>
      <c r="M63" s="4">
        <v>4.74</v>
      </c>
      <c r="N63" s="4">
        <v>4.66</v>
      </c>
    </row>
    <row r="64" spans="1:14" x14ac:dyDescent="0.2">
      <c r="A64" s="3">
        <v>45436</v>
      </c>
      <c r="B64" s="4">
        <v>5.56</v>
      </c>
      <c r="C64" s="4">
        <v>5.53</v>
      </c>
      <c r="D64" s="4">
        <v>5.46</v>
      </c>
      <c r="E64" s="4">
        <v>5.51</v>
      </c>
      <c r="F64" s="4">
        <v>5.44</v>
      </c>
      <c r="G64" s="4">
        <v>5.21</v>
      </c>
      <c r="H64" s="4">
        <v>4.93</v>
      </c>
      <c r="I64" s="4">
        <v>4.71</v>
      </c>
      <c r="J64" s="4">
        <v>4.53</v>
      </c>
      <c r="K64" s="4">
        <v>4.49</v>
      </c>
      <c r="L64" s="4">
        <v>4.46</v>
      </c>
      <c r="M64" s="4">
        <v>4.6500000000000004</v>
      </c>
      <c r="N64" s="4">
        <v>4.57</v>
      </c>
    </row>
    <row r="65" spans="1:14" x14ac:dyDescent="0.2">
      <c r="A65" s="3">
        <v>45435</v>
      </c>
      <c r="B65" s="4">
        <v>5.51</v>
      </c>
      <c r="C65" s="4">
        <v>5.48</v>
      </c>
      <c r="D65" s="4">
        <v>5.46</v>
      </c>
      <c r="E65" s="4">
        <v>5.51</v>
      </c>
      <c r="F65" s="4">
        <v>5.44</v>
      </c>
      <c r="G65" s="4">
        <v>5.2</v>
      </c>
      <c r="H65" s="4">
        <v>4.91</v>
      </c>
      <c r="I65" s="4">
        <v>4.71</v>
      </c>
      <c r="J65" s="4">
        <v>4.5199999999999996</v>
      </c>
      <c r="K65" s="4">
        <v>4.5</v>
      </c>
      <c r="L65" s="4">
        <v>4.47</v>
      </c>
      <c r="M65" s="4">
        <v>4.67</v>
      </c>
      <c r="N65" s="4">
        <v>4.58</v>
      </c>
    </row>
    <row r="66" spans="1:14" x14ac:dyDescent="0.2">
      <c r="A66" s="3">
        <v>45434</v>
      </c>
      <c r="B66" s="4">
        <v>5.49</v>
      </c>
      <c r="C66" s="4">
        <v>5.48</v>
      </c>
      <c r="D66" s="4">
        <v>5.45</v>
      </c>
      <c r="E66" s="4">
        <v>5.5</v>
      </c>
      <c r="F66" s="4">
        <v>5.43</v>
      </c>
      <c r="G66" s="4">
        <v>5.16</v>
      </c>
      <c r="H66" s="4">
        <v>4.8600000000000003</v>
      </c>
      <c r="I66" s="4">
        <v>4.6399999999999997</v>
      </c>
      <c r="J66" s="4">
        <v>4.47</v>
      </c>
      <c r="K66" s="4">
        <v>4.4400000000000004</v>
      </c>
      <c r="L66" s="4">
        <v>4.43</v>
      </c>
      <c r="M66" s="4">
        <v>4.63</v>
      </c>
      <c r="N66" s="4">
        <v>4.55</v>
      </c>
    </row>
    <row r="67" spans="1:14" x14ac:dyDescent="0.2">
      <c r="A67" s="3">
        <v>45433</v>
      </c>
      <c r="B67" s="4">
        <v>5.5</v>
      </c>
      <c r="C67" s="4">
        <v>5.47</v>
      </c>
      <c r="D67" s="4">
        <v>5.45</v>
      </c>
      <c r="E67" s="4">
        <v>5.51</v>
      </c>
      <c r="F67" s="4">
        <v>5.42</v>
      </c>
      <c r="G67" s="4">
        <v>5.14</v>
      </c>
      <c r="H67" s="4">
        <v>4.82</v>
      </c>
      <c r="I67" s="4">
        <v>4.6100000000000003</v>
      </c>
      <c r="J67" s="4">
        <v>4.43</v>
      </c>
      <c r="K67" s="4">
        <v>4.42</v>
      </c>
      <c r="L67" s="4">
        <v>4.41</v>
      </c>
      <c r="M67" s="4">
        <v>4.6500000000000004</v>
      </c>
      <c r="N67" s="4">
        <v>4.55</v>
      </c>
    </row>
    <row r="68" spans="1:14" x14ac:dyDescent="0.2">
      <c r="A68" s="3">
        <v>45432</v>
      </c>
      <c r="B68" s="4">
        <v>5.5</v>
      </c>
      <c r="C68" s="4">
        <v>5.47</v>
      </c>
      <c r="D68" s="4">
        <v>5.45</v>
      </c>
      <c r="E68" s="4">
        <v>5.51</v>
      </c>
      <c r="F68" s="4">
        <v>5.43</v>
      </c>
      <c r="G68" s="4">
        <v>5.15</v>
      </c>
      <c r="H68" s="4">
        <v>4.82</v>
      </c>
      <c r="I68" s="4">
        <v>4.62</v>
      </c>
      <c r="J68" s="4">
        <v>4.46</v>
      </c>
      <c r="K68" s="4">
        <v>4.4400000000000004</v>
      </c>
      <c r="L68" s="4">
        <v>4.4400000000000004</v>
      </c>
      <c r="M68" s="4">
        <v>4.68</v>
      </c>
      <c r="N68" s="4">
        <v>4.58</v>
      </c>
    </row>
    <row r="69" spans="1:14" x14ac:dyDescent="0.2">
      <c r="A69" s="3">
        <v>45429</v>
      </c>
      <c r="B69" s="4">
        <v>5.5</v>
      </c>
      <c r="C69" s="4">
        <v>5.47</v>
      </c>
      <c r="D69" s="4">
        <v>5.46</v>
      </c>
      <c r="E69" s="4">
        <v>5.5</v>
      </c>
      <c r="F69" s="4">
        <v>5.41</v>
      </c>
      <c r="G69" s="4">
        <v>5.14</v>
      </c>
      <c r="H69" s="4">
        <v>4.83</v>
      </c>
      <c r="I69" s="4">
        <v>4.5999999999999996</v>
      </c>
      <c r="J69" s="4">
        <v>4.4400000000000004</v>
      </c>
      <c r="K69" s="4">
        <v>4.43</v>
      </c>
      <c r="L69" s="4">
        <v>4.42</v>
      </c>
      <c r="M69" s="4">
        <v>4.66</v>
      </c>
      <c r="N69" s="4">
        <v>4.5599999999999996</v>
      </c>
    </row>
    <row r="70" spans="1:14" x14ac:dyDescent="0.2">
      <c r="A70" s="3">
        <v>45428</v>
      </c>
      <c r="B70" s="4">
        <v>5.51</v>
      </c>
      <c r="C70" s="4">
        <v>5.47</v>
      </c>
      <c r="D70" s="4">
        <v>5.45</v>
      </c>
      <c r="E70" s="4">
        <v>5.53</v>
      </c>
      <c r="F70" s="4">
        <v>5.41</v>
      </c>
      <c r="G70" s="4">
        <v>5.13</v>
      </c>
      <c r="H70" s="4">
        <v>4.78</v>
      </c>
      <c r="I70" s="4">
        <v>4.58</v>
      </c>
      <c r="J70" s="4">
        <v>4.4000000000000004</v>
      </c>
      <c r="K70" s="4">
        <v>4.3899999999999997</v>
      </c>
      <c r="L70" s="4">
        <v>4.38</v>
      </c>
      <c r="M70" s="4">
        <v>4.62</v>
      </c>
      <c r="N70" s="4">
        <v>4.5199999999999996</v>
      </c>
    </row>
    <row r="71" spans="1:14" x14ac:dyDescent="0.2">
      <c r="A71" s="3">
        <v>45427</v>
      </c>
      <c r="B71" s="4">
        <v>5.49</v>
      </c>
      <c r="C71" s="4">
        <v>5.46</v>
      </c>
      <c r="D71" s="4">
        <v>5.45</v>
      </c>
      <c r="E71" s="4">
        <v>5.5</v>
      </c>
      <c r="F71" s="4">
        <v>5.4</v>
      </c>
      <c r="G71" s="4">
        <v>5.0999999999999996</v>
      </c>
      <c r="H71" s="4">
        <v>4.7300000000000004</v>
      </c>
      <c r="I71" s="4">
        <v>4.51</v>
      </c>
      <c r="J71" s="4">
        <v>4.3499999999999996</v>
      </c>
      <c r="K71" s="4">
        <v>4.3499999999999996</v>
      </c>
      <c r="L71" s="4">
        <v>4.3600000000000003</v>
      </c>
      <c r="M71" s="4">
        <v>4.6100000000000003</v>
      </c>
      <c r="N71" s="4">
        <v>4.5199999999999996</v>
      </c>
    </row>
    <row r="72" spans="1:14" x14ac:dyDescent="0.2">
      <c r="A72" s="3">
        <v>45426</v>
      </c>
      <c r="B72" s="4">
        <v>5.5</v>
      </c>
      <c r="C72" s="4">
        <v>5.47</v>
      </c>
      <c r="D72" s="4">
        <v>5.44</v>
      </c>
      <c r="E72" s="4">
        <v>5.51</v>
      </c>
      <c r="F72" s="4">
        <v>5.43</v>
      </c>
      <c r="G72" s="4">
        <v>5.16</v>
      </c>
      <c r="H72" s="4">
        <v>4.8099999999999996</v>
      </c>
      <c r="I72" s="4">
        <v>4.62</v>
      </c>
      <c r="J72" s="4">
        <v>4.46</v>
      </c>
      <c r="K72" s="4">
        <v>4.45</v>
      </c>
      <c r="L72" s="4">
        <v>4.45</v>
      </c>
      <c r="M72" s="4">
        <v>4.6900000000000004</v>
      </c>
      <c r="N72" s="4">
        <v>4.59</v>
      </c>
    </row>
    <row r="73" spans="1:14" x14ac:dyDescent="0.2">
      <c r="A73" s="3">
        <v>45425</v>
      </c>
      <c r="B73" s="4">
        <v>5.5</v>
      </c>
      <c r="C73" s="4">
        <v>5.47</v>
      </c>
      <c r="D73" s="4">
        <v>5.45</v>
      </c>
      <c r="E73" s="4">
        <v>5.51</v>
      </c>
      <c r="F73" s="4">
        <v>5.43</v>
      </c>
      <c r="G73" s="4">
        <v>5.16</v>
      </c>
      <c r="H73" s="4">
        <v>4.8499999999999996</v>
      </c>
      <c r="I73" s="4">
        <v>4.66</v>
      </c>
      <c r="J73" s="4">
        <v>4.5</v>
      </c>
      <c r="K73" s="4">
        <v>4.49</v>
      </c>
      <c r="L73" s="4">
        <v>4.4800000000000004</v>
      </c>
      <c r="M73" s="4">
        <v>4.72</v>
      </c>
      <c r="N73" s="4">
        <v>4.63</v>
      </c>
    </row>
    <row r="74" spans="1:14" x14ac:dyDescent="0.2">
      <c r="A74" s="3">
        <v>45422</v>
      </c>
      <c r="B74" s="4">
        <v>5.51</v>
      </c>
      <c r="C74" s="4">
        <v>5.47</v>
      </c>
      <c r="D74" s="4">
        <v>5.47</v>
      </c>
      <c r="E74" s="4">
        <v>5.51</v>
      </c>
      <c r="F74" s="4">
        <v>5.43</v>
      </c>
      <c r="G74" s="4">
        <v>5.17</v>
      </c>
      <c r="H74" s="4">
        <v>4.87</v>
      </c>
      <c r="I74" s="4">
        <v>4.6500000000000004</v>
      </c>
      <c r="J74" s="4">
        <v>4.5199999999999996</v>
      </c>
      <c r="K74" s="4">
        <v>4.51</v>
      </c>
      <c r="L74" s="4">
        <v>4.5</v>
      </c>
      <c r="M74" s="4">
        <v>4.74</v>
      </c>
      <c r="N74" s="4">
        <v>4.6399999999999997</v>
      </c>
    </row>
    <row r="75" spans="1:14" x14ac:dyDescent="0.2">
      <c r="A75" s="3">
        <v>45421</v>
      </c>
      <c r="B75" s="4">
        <v>5.51</v>
      </c>
      <c r="C75" s="4">
        <v>5.48</v>
      </c>
      <c r="D75" s="4">
        <v>5.46</v>
      </c>
      <c r="E75" s="4">
        <v>5.5</v>
      </c>
      <c r="F75" s="4">
        <v>5.41</v>
      </c>
      <c r="G75" s="4">
        <v>5.12</v>
      </c>
      <c r="H75" s="4">
        <v>4.8</v>
      </c>
      <c r="I75" s="4">
        <v>4.5999999999999996</v>
      </c>
      <c r="J75" s="4">
        <v>4.47</v>
      </c>
      <c r="K75" s="4">
        <v>4.46</v>
      </c>
      <c r="L75" s="4">
        <v>4.45</v>
      </c>
      <c r="M75" s="4">
        <v>4.7</v>
      </c>
      <c r="N75" s="4">
        <v>4.5999999999999996</v>
      </c>
    </row>
    <row r="76" spans="1:14" x14ac:dyDescent="0.2">
      <c r="A76" s="3">
        <v>45420</v>
      </c>
      <c r="B76" s="4">
        <v>5.51</v>
      </c>
      <c r="C76" s="4">
        <v>5.47</v>
      </c>
      <c r="D76" s="4">
        <v>5.45</v>
      </c>
      <c r="E76" s="4">
        <v>5.5</v>
      </c>
      <c r="F76" s="4">
        <v>5.41</v>
      </c>
      <c r="G76" s="4">
        <v>5.13</v>
      </c>
      <c r="H76" s="4">
        <v>4.84</v>
      </c>
      <c r="I76" s="4">
        <v>4.63</v>
      </c>
      <c r="J76" s="4">
        <v>4.5</v>
      </c>
      <c r="K76" s="4">
        <v>4.49</v>
      </c>
      <c r="L76" s="4">
        <v>4.4800000000000004</v>
      </c>
      <c r="M76" s="4">
        <v>4.7300000000000004</v>
      </c>
      <c r="N76" s="4">
        <v>4.6399999999999997</v>
      </c>
    </row>
    <row r="77" spans="1:14" x14ac:dyDescent="0.2">
      <c r="A77" s="3">
        <v>45419</v>
      </c>
      <c r="B77" s="4">
        <v>5.51</v>
      </c>
      <c r="C77" s="4">
        <v>5.48</v>
      </c>
      <c r="D77" s="4">
        <v>5.45</v>
      </c>
      <c r="E77" s="4">
        <v>5.51</v>
      </c>
      <c r="F77" s="4">
        <v>5.41</v>
      </c>
      <c r="G77" s="4">
        <v>5.13</v>
      </c>
      <c r="H77" s="4">
        <v>4.82</v>
      </c>
      <c r="I77" s="4">
        <v>4.5999999999999996</v>
      </c>
      <c r="J77" s="4">
        <v>4.4800000000000004</v>
      </c>
      <c r="K77" s="4">
        <v>4.47</v>
      </c>
      <c r="L77" s="4">
        <v>4.47</v>
      </c>
      <c r="M77" s="4">
        <v>4.7</v>
      </c>
      <c r="N77" s="4">
        <v>4.6100000000000003</v>
      </c>
    </row>
    <row r="78" spans="1:14" x14ac:dyDescent="0.2">
      <c r="A78" s="3">
        <v>45418</v>
      </c>
      <c r="B78" s="4">
        <v>5.51</v>
      </c>
      <c r="C78" s="4">
        <v>5.48</v>
      </c>
      <c r="D78" s="4">
        <v>5.45</v>
      </c>
      <c r="E78" s="4">
        <v>5.5</v>
      </c>
      <c r="F78" s="4">
        <v>5.42</v>
      </c>
      <c r="G78" s="4">
        <v>5.12</v>
      </c>
      <c r="H78" s="4">
        <v>4.82</v>
      </c>
      <c r="I78" s="4">
        <v>4.6399999999999997</v>
      </c>
      <c r="J78" s="4">
        <v>4.4800000000000004</v>
      </c>
      <c r="K78" s="4">
        <v>4.4800000000000004</v>
      </c>
      <c r="L78" s="4">
        <v>4.49</v>
      </c>
      <c r="M78" s="4">
        <v>4.7300000000000004</v>
      </c>
      <c r="N78" s="4">
        <v>4.6399999999999997</v>
      </c>
    </row>
    <row r="79" spans="1:14" x14ac:dyDescent="0.2">
      <c r="A79" s="3">
        <v>45415</v>
      </c>
      <c r="B79" s="4">
        <v>5.51</v>
      </c>
      <c r="C79" s="4">
        <v>5.48</v>
      </c>
      <c r="D79" s="4">
        <v>5.45</v>
      </c>
      <c r="E79" s="4">
        <v>5.5</v>
      </c>
      <c r="F79" s="4">
        <v>5.41</v>
      </c>
      <c r="G79" s="4">
        <v>5.12</v>
      </c>
      <c r="H79" s="4">
        <v>4.8099999999999996</v>
      </c>
      <c r="I79" s="4">
        <v>4.63</v>
      </c>
      <c r="J79" s="4">
        <v>4.4800000000000004</v>
      </c>
      <c r="K79" s="4">
        <v>4.49</v>
      </c>
      <c r="L79" s="4">
        <v>4.5</v>
      </c>
      <c r="M79" s="4">
        <v>4.75</v>
      </c>
      <c r="N79" s="4">
        <v>4.66</v>
      </c>
    </row>
    <row r="80" spans="1:14" x14ac:dyDescent="0.2">
      <c r="A80" s="3">
        <v>45414</v>
      </c>
      <c r="B80" s="4">
        <v>5.51</v>
      </c>
      <c r="C80" s="4">
        <v>5.47</v>
      </c>
      <c r="D80" s="4">
        <v>5.46</v>
      </c>
      <c r="E80" s="4">
        <v>5.5</v>
      </c>
      <c r="F80" s="4">
        <v>5.42</v>
      </c>
      <c r="G80" s="4">
        <v>5.16</v>
      </c>
      <c r="H80" s="4">
        <v>4.87</v>
      </c>
      <c r="I80" s="4">
        <v>4.71</v>
      </c>
      <c r="J80" s="4">
        <v>4.57</v>
      </c>
      <c r="K80" s="4">
        <v>4.57</v>
      </c>
      <c r="L80" s="4">
        <v>4.58</v>
      </c>
      <c r="M80" s="4">
        <v>4.82</v>
      </c>
      <c r="N80" s="4">
        <v>4.72</v>
      </c>
    </row>
    <row r="81" spans="1:14" x14ac:dyDescent="0.2">
      <c r="A81" s="3">
        <v>45413</v>
      </c>
      <c r="B81" s="4">
        <v>5.47</v>
      </c>
      <c r="C81" s="4">
        <v>5.5</v>
      </c>
      <c r="D81" s="4">
        <v>5.46</v>
      </c>
      <c r="E81" s="4">
        <v>5.51</v>
      </c>
      <c r="F81" s="4">
        <v>5.43</v>
      </c>
      <c r="G81" s="4">
        <v>5.21</v>
      </c>
      <c r="H81" s="4">
        <v>4.96</v>
      </c>
      <c r="I81" s="4">
        <v>4.79</v>
      </c>
      <c r="J81" s="4">
        <v>4.6399999999999997</v>
      </c>
      <c r="K81" s="4">
        <v>4.6399999999999997</v>
      </c>
      <c r="L81" s="4">
        <v>4.63</v>
      </c>
      <c r="M81" s="4">
        <v>4.8499999999999996</v>
      </c>
      <c r="N81" s="4">
        <v>4.74</v>
      </c>
    </row>
    <row r="82" spans="1:14" x14ac:dyDescent="0.2">
      <c r="A82" s="3">
        <v>45412</v>
      </c>
      <c r="B82" s="4">
        <v>5.48</v>
      </c>
      <c r="C82" s="4">
        <v>5.51</v>
      </c>
      <c r="D82" s="4">
        <v>5.46</v>
      </c>
      <c r="E82" s="4">
        <v>5.45</v>
      </c>
      <c r="F82" s="4">
        <v>5.44</v>
      </c>
      <c r="G82" s="4">
        <v>5.25</v>
      </c>
      <c r="H82" s="4">
        <v>5.04</v>
      </c>
      <c r="I82" s="4">
        <v>4.87</v>
      </c>
      <c r="J82" s="4">
        <v>4.72</v>
      </c>
      <c r="K82" s="4">
        <v>4.71</v>
      </c>
      <c r="L82" s="4">
        <v>4.6900000000000004</v>
      </c>
      <c r="M82" s="4">
        <v>4.9000000000000004</v>
      </c>
      <c r="N82" s="4">
        <v>4.79</v>
      </c>
    </row>
    <row r="83" spans="1:14" x14ac:dyDescent="0.2">
      <c r="A83" s="3">
        <v>45411</v>
      </c>
      <c r="B83" s="4">
        <v>5.48</v>
      </c>
      <c r="C83" s="4">
        <v>5.51</v>
      </c>
      <c r="D83" s="4">
        <v>5.45</v>
      </c>
      <c r="E83" s="4">
        <v>5.45</v>
      </c>
      <c r="F83" s="4">
        <v>5.43</v>
      </c>
      <c r="G83" s="4">
        <v>5.2</v>
      </c>
      <c r="H83" s="4">
        <v>4.97</v>
      </c>
      <c r="I83" s="4">
        <v>4.8</v>
      </c>
      <c r="J83" s="4">
        <v>4.6500000000000004</v>
      </c>
      <c r="K83" s="4">
        <v>4.6399999999999997</v>
      </c>
      <c r="L83" s="4">
        <v>4.63</v>
      </c>
      <c r="M83" s="4">
        <v>4.8600000000000003</v>
      </c>
      <c r="N83" s="4">
        <v>4.75</v>
      </c>
    </row>
    <row r="84" spans="1:14" x14ac:dyDescent="0.2">
      <c r="A84" s="3">
        <v>45408</v>
      </c>
      <c r="B84" s="4">
        <v>5.48</v>
      </c>
      <c r="C84" s="4">
        <v>5.51</v>
      </c>
      <c r="D84" s="4">
        <v>5.46</v>
      </c>
      <c r="E84" s="4">
        <v>5.45</v>
      </c>
      <c r="F84" s="4">
        <v>5.4</v>
      </c>
      <c r="G84" s="4">
        <v>5.21</v>
      </c>
      <c r="H84" s="4">
        <v>4.96</v>
      </c>
      <c r="I84" s="4">
        <v>4.84</v>
      </c>
      <c r="J84" s="4">
        <v>4.68</v>
      </c>
      <c r="K84" s="4">
        <v>4.68</v>
      </c>
      <c r="L84" s="4">
        <v>4.67</v>
      </c>
      <c r="M84" s="4">
        <v>4.8899999999999997</v>
      </c>
      <c r="N84" s="4">
        <v>4.78</v>
      </c>
    </row>
    <row r="85" spans="1:14" x14ac:dyDescent="0.2">
      <c r="A85" s="3">
        <v>45407</v>
      </c>
      <c r="B85" s="4">
        <v>5.48</v>
      </c>
      <c r="C85" s="4">
        <v>5.51</v>
      </c>
      <c r="D85" s="4">
        <v>5.47</v>
      </c>
      <c r="E85" s="4">
        <v>5.46</v>
      </c>
      <c r="F85" s="4">
        <v>5.41</v>
      </c>
      <c r="G85" s="4">
        <v>5.21</v>
      </c>
      <c r="H85" s="4">
        <v>4.96</v>
      </c>
      <c r="I85" s="4">
        <v>4.8499999999999996</v>
      </c>
      <c r="J85" s="4">
        <v>4.7</v>
      </c>
      <c r="K85" s="4">
        <v>4.71</v>
      </c>
      <c r="L85" s="4">
        <v>4.7</v>
      </c>
      <c r="M85" s="4">
        <v>4.93</v>
      </c>
      <c r="N85" s="4">
        <v>4.82</v>
      </c>
    </row>
    <row r="86" spans="1:14" x14ac:dyDescent="0.2">
      <c r="A86" s="3">
        <v>45406</v>
      </c>
      <c r="B86" s="4">
        <v>5.49</v>
      </c>
      <c r="C86" s="4">
        <v>5.5</v>
      </c>
      <c r="D86" s="4">
        <v>5.46</v>
      </c>
      <c r="E86" s="4">
        <v>5.44</v>
      </c>
      <c r="F86" s="4">
        <v>5.4</v>
      </c>
      <c r="G86" s="4">
        <v>5.17</v>
      </c>
      <c r="H86" s="4">
        <v>4.8899999999999997</v>
      </c>
      <c r="I86" s="4">
        <v>4.78</v>
      </c>
      <c r="J86" s="4">
        <v>4.6399999999999997</v>
      </c>
      <c r="K86" s="4">
        <v>4.66</v>
      </c>
      <c r="L86" s="4">
        <v>4.6500000000000004</v>
      </c>
      <c r="M86" s="4">
        <v>4.88</v>
      </c>
      <c r="N86" s="4">
        <v>4.78</v>
      </c>
    </row>
    <row r="87" spans="1:14" x14ac:dyDescent="0.2">
      <c r="A87" s="3">
        <v>45405</v>
      </c>
      <c r="B87" s="4">
        <v>5.49</v>
      </c>
      <c r="C87" s="4">
        <v>5.5</v>
      </c>
      <c r="D87" s="4">
        <v>5.45</v>
      </c>
      <c r="E87" s="4">
        <v>5.44</v>
      </c>
      <c r="F87" s="4">
        <v>5.39</v>
      </c>
      <c r="G87" s="4">
        <v>5.14</v>
      </c>
      <c r="H87" s="4">
        <v>4.8600000000000003</v>
      </c>
      <c r="I87" s="4">
        <v>4.76</v>
      </c>
      <c r="J87" s="4">
        <v>4.63</v>
      </c>
      <c r="K87" s="4">
        <v>4.62</v>
      </c>
      <c r="L87" s="4">
        <v>4.6100000000000003</v>
      </c>
      <c r="M87" s="4">
        <v>4.84</v>
      </c>
      <c r="N87" s="4">
        <v>4.7300000000000004</v>
      </c>
    </row>
    <row r="88" spans="1:14" x14ac:dyDescent="0.2">
      <c r="A88" s="3">
        <v>45404</v>
      </c>
      <c r="B88" s="4">
        <v>5.49</v>
      </c>
      <c r="C88" s="4">
        <v>5.5</v>
      </c>
      <c r="D88" s="4">
        <v>5.42</v>
      </c>
      <c r="E88" s="4">
        <v>5.44</v>
      </c>
      <c r="F88" s="4">
        <v>5.39</v>
      </c>
      <c r="G88" s="4">
        <v>5.16</v>
      </c>
      <c r="H88" s="4">
        <v>4.97</v>
      </c>
      <c r="I88" s="4">
        <v>4.8099999999999996</v>
      </c>
      <c r="J88" s="4">
        <v>4.66</v>
      </c>
      <c r="K88" s="4">
        <v>4.6500000000000004</v>
      </c>
      <c r="L88" s="4">
        <v>4.62</v>
      </c>
      <c r="M88" s="4">
        <v>4.84</v>
      </c>
      <c r="N88" s="4">
        <v>4.72</v>
      </c>
    </row>
    <row r="89" spans="1:14" x14ac:dyDescent="0.2">
      <c r="A89" s="3">
        <v>45401</v>
      </c>
      <c r="B89" s="4">
        <v>5.49</v>
      </c>
      <c r="C89" s="4">
        <v>5.51</v>
      </c>
      <c r="D89" s="4">
        <v>5.45</v>
      </c>
      <c r="E89" s="4">
        <v>5.44</v>
      </c>
      <c r="F89" s="4">
        <v>5.39</v>
      </c>
      <c r="G89" s="4">
        <v>5.17</v>
      </c>
      <c r="H89" s="4">
        <v>4.97</v>
      </c>
      <c r="I89" s="4">
        <v>4.8099999999999996</v>
      </c>
      <c r="J89" s="4">
        <v>4.66</v>
      </c>
      <c r="K89" s="4">
        <v>4.6500000000000004</v>
      </c>
      <c r="L89" s="4">
        <v>4.62</v>
      </c>
      <c r="M89" s="4">
        <v>4.83</v>
      </c>
      <c r="N89" s="4">
        <v>4.72</v>
      </c>
    </row>
    <row r="90" spans="1:14" x14ac:dyDescent="0.2">
      <c r="A90" s="3">
        <v>45400</v>
      </c>
      <c r="B90" s="4">
        <v>5.49</v>
      </c>
      <c r="C90" s="4">
        <v>5.52</v>
      </c>
      <c r="D90" s="4">
        <v>5.46</v>
      </c>
      <c r="E90" s="4">
        <v>5.44</v>
      </c>
      <c r="F90" s="4">
        <v>5.39</v>
      </c>
      <c r="G90" s="4">
        <v>5.18</v>
      </c>
      <c r="H90" s="4">
        <v>4.9800000000000004</v>
      </c>
      <c r="I90" s="4">
        <v>4.83</v>
      </c>
      <c r="J90" s="4">
        <v>4.68</v>
      </c>
      <c r="K90" s="4">
        <v>4.67</v>
      </c>
      <c r="L90" s="4">
        <v>4.6399999999999997</v>
      </c>
      <c r="M90" s="4">
        <v>4.8499999999999996</v>
      </c>
      <c r="N90" s="4">
        <v>4.74</v>
      </c>
    </row>
    <row r="91" spans="1:14" x14ac:dyDescent="0.2">
      <c r="A91" s="3">
        <v>45399</v>
      </c>
      <c r="B91" s="4">
        <v>5.49</v>
      </c>
      <c r="C91" s="4">
        <v>5.49</v>
      </c>
      <c r="D91" s="4">
        <v>5.45</v>
      </c>
      <c r="E91" s="4">
        <v>5.44</v>
      </c>
      <c r="F91" s="4">
        <v>5.38</v>
      </c>
      <c r="G91" s="4">
        <v>5.16</v>
      </c>
      <c r="H91" s="4">
        <v>4.93</v>
      </c>
      <c r="I91" s="4">
        <v>4.7699999999999996</v>
      </c>
      <c r="J91" s="4">
        <v>4.62</v>
      </c>
      <c r="K91" s="4">
        <v>4.6100000000000003</v>
      </c>
      <c r="L91" s="4">
        <v>4.59</v>
      </c>
      <c r="M91" s="4">
        <v>4.8099999999999996</v>
      </c>
      <c r="N91" s="4">
        <v>4.71</v>
      </c>
    </row>
    <row r="92" spans="1:14" x14ac:dyDescent="0.2">
      <c r="A92" s="3">
        <v>45398</v>
      </c>
      <c r="B92" s="4">
        <v>5.49</v>
      </c>
      <c r="C92" s="4">
        <v>5.51</v>
      </c>
      <c r="D92" s="4">
        <v>5.45</v>
      </c>
      <c r="E92" s="4">
        <v>5.44</v>
      </c>
      <c r="F92" s="4">
        <v>5.39</v>
      </c>
      <c r="G92" s="4">
        <v>5.18</v>
      </c>
      <c r="H92" s="4">
        <v>4.97</v>
      </c>
      <c r="I92" s="4">
        <v>4.83</v>
      </c>
      <c r="J92" s="4">
        <v>4.6900000000000004</v>
      </c>
      <c r="K92" s="4">
        <v>4.6900000000000004</v>
      </c>
      <c r="L92" s="4">
        <v>4.67</v>
      </c>
      <c r="M92" s="4">
        <v>4.88</v>
      </c>
      <c r="N92" s="4">
        <v>4.7699999999999996</v>
      </c>
    </row>
    <row r="93" spans="1:14" x14ac:dyDescent="0.2">
      <c r="A93" s="3">
        <v>45397</v>
      </c>
      <c r="B93" s="4">
        <v>5.49</v>
      </c>
      <c r="C93" s="4">
        <v>5.51</v>
      </c>
      <c r="D93" s="4">
        <v>5.45</v>
      </c>
      <c r="E93" s="4">
        <v>5.44</v>
      </c>
      <c r="F93" s="4">
        <v>5.38</v>
      </c>
      <c r="G93" s="4">
        <v>5.16</v>
      </c>
      <c r="H93" s="4">
        <v>4.93</v>
      </c>
      <c r="I93" s="4">
        <v>4.78</v>
      </c>
      <c r="J93" s="4">
        <v>4.6500000000000004</v>
      </c>
      <c r="K93" s="4">
        <v>4.6500000000000004</v>
      </c>
      <c r="L93" s="4">
        <v>4.63</v>
      </c>
      <c r="M93" s="4">
        <v>4.8499999999999996</v>
      </c>
      <c r="N93" s="4">
        <v>4.74</v>
      </c>
    </row>
    <row r="94" spans="1:14" x14ac:dyDescent="0.2">
      <c r="A94" s="3">
        <v>45394</v>
      </c>
      <c r="B94" s="4">
        <v>5.48</v>
      </c>
      <c r="C94" s="4">
        <v>5.5</v>
      </c>
      <c r="D94" s="4">
        <v>5.45</v>
      </c>
      <c r="E94" s="4">
        <v>5.42</v>
      </c>
      <c r="F94" s="4">
        <v>5.36</v>
      </c>
      <c r="G94" s="4">
        <v>5.13</v>
      </c>
      <c r="H94" s="4">
        <v>4.88</v>
      </c>
      <c r="I94" s="4">
        <v>4.7</v>
      </c>
      <c r="J94" s="4">
        <v>4.54</v>
      </c>
      <c r="K94" s="4">
        <v>4.53</v>
      </c>
      <c r="L94" s="4">
        <v>4.5</v>
      </c>
      <c r="M94" s="4">
        <v>4.7300000000000004</v>
      </c>
      <c r="N94" s="4">
        <v>4.6100000000000003</v>
      </c>
    </row>
    <row r="95" spans="1:14" x14ac:dyDescent="0.2">
      <c r="A95" s="3">
        <v>45393</v>
      </c>
      <c r="B95" s="4">
        <v>5.48</v>
      </c>
      <c r="C95" s="4">
        <v>5.51</v>
      </c>
      <c r="D95" s="4">
        <v>5.45</v>
      </c>
      <c r="E95" s="4">
        <v>5.44</v>
      </c>
      <c r="F95" s="4">
        <v>5.38</v>
      </c>
      <c r="G95" s="4">
        <v>5.17</v>
      </c>
      <c r="H95" s="4">
        <v>4.93</v>
      </c>
      <c r="I95" s="4">
        <v>4.7699999999999996</v>
      </c>
      <c r="J95" s="4">
        <v>4.6100000000000003</v>
      </c>
      <c r="K95" s="4">
        <v>4.5999999999999996</v>
      </c>
      <c r="L95" s="4">
        <v>4.5599999999999996</v>
      </c>
      <c r="M95" s="4">
        <v>4.7699999999999996</v>
      </c>
      <c r="N95" s="4">
        <v>4.6500000000000004</v>
      </c>
    </row>
    <row r="96" spans="1:14" x14ac:dyDescent="0.2">
      <c r="A96" s="3">
        <v>45392</v>
      </c>
      <c r="B96" s="4">
        <v>5.49</v>
      </c>
      <c r="C96" s="4">
        <v>5.5</v>
      </c>
      <c r="D96" s="4">
        <v>5.45</v>
      </c>
      <c r="E96" s="4">
        <v>5.44</v>
      </c>
      <c r="F96" s="4">
        <v>5.4</v>
      </c>
      <c r="G96" s="4">
        <v>5.19</v>
      </c>
      <c r="H96" s="4">
        <v>4.97</v>
      </c>
      <c r="I96" s="4">
        <v>4.7699999999999996</v>
      </c>
      <c r="J96" s="4">
        <v>4.6100000000000003</v>
      </c>
      <c r="K96" s="4">
        <v>4.59</v>
      </c>
      <c r="L96" s="4">
        <v>4.55</v>
      </c>
      <c r="M96" s="4">
        <v>4.76</v>
      </c>
      <c r="N96" s="4">
        <v>4.6399999999999997</v>
      </c>
    </row>
    <row r="97" spans="1:14" x14ac:dyDescent="0.2">
      <c r="A97" s="3">
        <v>45391</v>
      </c>
      <c r="B97" s="4">
        <v>5.48</v>
      </c>
      <c r="C97" s="4">
        <v>5.49</v>
      </c>
      <c r="D97" s="4">
        <v>5.43</v>
      </c>
      <c r="E97" s="4">
        <v>5.41</v>
      </c>
      <c r="F97" s="4">
        <v>5.34</v>
      </c>
      <c r="G97" s="4">
        <v>5.03</v>
      </c>
      <c r="H97" s="4">
        <v>4.74</v>
      </c>
      <c r="I97" s="4">
        <v>4.5199999999999996</v>
      </c>
      <c r="J97" s="4">
        <v>4.37</v>
      </c>
      <c r="K97" s="4">
        <v>4.38</v>
      </c>
      <c r="L97" s="4">
        <v>4.3600000000000003</v>
      </c>
      <c r="M97" s="4">
        <v>4.5999999999999996</v>
      </c>
      <c r="N97" s="4">
        <v>4.5</v>
      </c>
    </row>
    <row r="98" spans="1:14" x14ac:dyDescent="0.2">
      <c r="A98" s="3">
        <v>45390</v>
      </c>
      <c r="B98" s="4">
        <v>5.48</v>
      </c>
      <c r="C98" s="4">
        <v>5.49</v>
      </c>
      <c r="D98" s="4">
        <v>5.43</v>
      </c>
      <c r="E98" s="4">
        <v>5.41</v>
      </c>
      <c r="F98" s="4">
        <v>5.35</v>
      </c>
      <c r="G98" s="4">
        <v>5.07</v>
      </c>
      <c r="H98" s="4">
        <v>4.78</v>
      </c>
      <c r="I98" s="4">
        <v>4.5999999999999996</v>
      </c>
      <c r="J98" s="4">
        <v>4.43</v>
      </c>
      <c r="K98" s="4">
        <v>4.43</v>
      </c>
      <c r="L98" s="4">
        <v>4.42</v>
      </c>
      <c r="M98" s="4">
        <v>4.6500000000000004</v>
      </c>
      <c r="N98" s="4">
        <v>4.55</v>
      </c>
    </row>
    <row r="99" spans="1:14" x14ac:dyDescent="0.2">
      <c r="A99" s="3">
        <v>45387</v>
      </c>
      <c r="B99" s="4">
        <v>5.47</v>
      </c>
      <c r="C99" s="4">
        <v>5.5</v>
      </c>
      <c r="D99" s="4">
        <v>5.43</v>
      </c>
      <c r="E99" s="4">
        <v>5.41</v>
      </c>
      <c r="F99" s="4">
        <v>5.34</v>
      </c>
      <c r="G99" s="4">
        <v>5.05</v>
      </c>
      <c r="H99" s="4">
        <v>4.7300000000000004</v>
      </c>
      <c r="I99" s="4">
        <v>4.54</v>
      </c>
      <c r="J99" s="4">
        <v>4.38</v>
      </c>
      <c r="K99" s="4">
        <v>4.3899999999999997</v>
      </c>
      <c r="L99" s="4">
        <v>4.3899999999999997</v>
      </c>
      <c r="M99" s="4">
        <v>4.6500000000000004</v>
      </c>
      <c r="N99" s="4">
        <v>4.54</v>
      </c>
    </row>
    <row r="100" spans="1:14" x14ac:dyDescent="0.2">
      <c r="A100" s="3">
        <v>45386</v>
      </c>
      <c r="B100" s="4">
        <v>5.47</v>
      </c>
      <c r="C100" s="4">
        <v>5.49</v>
      </c>
      <c r="D100" s="4">
        <v>5.41</v>
      </c>
      <c r="E100" s="4">
        <v>5.4</v>
      </c>
      <c r="F100" s="4">
        <v>5.32</v>
      </c>
      <c r="G100" s="4">
        <v>5</v>
      </c>
      <c r="H100" s="4">
        <v>4.6500000000000004</v>
      </c>
      <c r="I100" s="4">
        <v>4.46</v>
      </c>
      <c r="J100" s="4">
        <v>4.3</v>
      </c>
      <c r="K100" s="4">
        <v>4.3099999999999996</v>
      </c>
      <c r="L100" s="4">
        <v>4.3099999999999996</v>
      </c>
      <c r="M100" s="4">
        <v>4.57</v>
      </c>
      <c r="N100" s="4">
        <v>4.47</v>
      </c>
    </row>
    <row r="101" spans="1:14" x14ac:dyDescent="0.2">
      <c r="A101" s="3">
        <v>45385</v>
      </c>
      <c r="B101" s="4">
        <v>5.47</v>
      </c>
      <c r="C101" s="4">
        <v>5.44</v>
      </c>
      <c r="D101" s="4">
        <v>5.42</v>
      </c>
      <c r="E101" s="4">
        <v>5.4</v>
      </c>
      <c r="F101" s="4">
        <v>5.33</v>
      </c>
      <c r="G101" s="4">
        <v>5.03</v>
      </c>
      <c r="H101" s="4">
        <v>4.68</v>
      </c>
      <c r="I101" s="4">
        <v>4.4800000000000004</v>
      </c>
      <c r="J101" s="4">
        <v>4.34</v>
      </c>
      <c r="K101" s="4">
        <v>4.3600000000000003</v>
      </c>
      <c r="L101" s="4">
        <v>4.3600000000000003</v>
      </c>
      <c r="M101" s="4">
        <v>4.6100000000000003</v>
      </c>
      <c r="N101" s="4">
        <v>4.51</v>
      </c>
    </row>
    <row r="102" spans="1:14" x14ac:dyDescent="0.2">
      <c r="A102" s="3">
        <v>45384</v>
      </c>
      <c r="B102" s="4">
        <v>5.49</v>
      </c>
      <c r="C102" s="4">
        <v>5.45</v>
      </c>
      <c r="D102" s="4">
        <v>5.42</v>
      </c>
      <c r="E102" s="4">
        <v>5.4</v>
      </c>
      <c r="F102" s="4">
        <v>5.34</v>
      </c>
      <c r="G102" s="4">
        <v>5.05</v>
      </c>
      <c r="H102" s="4">
        <v>4.7</v>
      </c>
      <c r="I102" s="4">
        <v>4.51</v>
      </c>
      <c r="J102" s="4">
        <v>4.3499999999999996</v>
      </c>
      <c r="K102" s="4">
        <v>4.37</v>
      </c>
      <c r="L102" s="4">
        <v>4.3600000000000003</v>
      </c>
      <c r="M102" s="4">
        <v>4.6100000000000003</v>
      </c>
      <c r="N102" s="4">
        <v>4.51</v>
      </c>
    </row>
    <row r="103" spans="1:14" x14ac:dyDescent="0.2">
      <c r="A103" s="3">
        <v>45383</v>
      </c>
      <c r="B103" s="4">
        <v>5.49</v>
      </c>
      <c r="C103" s="4">
        <v>5.47</v>
      </c>
      <c r="D103" s="4">
        <v>5.44</v>
      </c>
      <c r="E103" s="4">
        <v>5.41</v>
      </c>
      <c r="F103" s="4">
        <v>5.36</v>
      </c>
      <c r="G103" s="4">
        <v>5.0599999999999996</v>
      </c>
      <c r="H103" s="4">
        <v>4.72</v>
      </c>
      <c r="I103" s="4">
        <v>4.51</v>
      </c>
      <c r="J103" s="4">
        <v>4.34</v>
      </c>
      <c r="K103" s="4">
        <v>4.33</v>
      </c>
      <c r="L103" s="4">
        <v>4.33</v>
      </c>
      <c r="M103" s="4">
        <v>4.58</v>
      </c>
      <c r="N103" s="4">
        <v>4.47</v>
      </c>
    </row>
    <row r="104" spans="1:14" x14ac:dyDescent="0.2">
      <c r="A104" s="3">
        <v>45379</v>
      </c>
      <c r="B104" s="4">
        <v>5.49</v>
      </c>
      <c r="C104" s="4">
        <v>5.48</v>
      </c>
      <c r="D104" s="4">
        <v>5.46</v>
      </c>
      <c r="E104" s="4">
        <v>5.42</v>
      </c>
      <c r="F104" s="4">
        <v>5.38</v>
      </c>
      <c r="G104" s="4">
        <v>5.03</v>
      </c>
      <c r="H104" s="4">
        <v>4.59</v>
      </c>
      <c r="I104" s="4">
        <v>4.4000000000000004</v>
      </c>
      <c r="J104" s="4">
        <v>4.21</v>
      </c>
      <c r="K104" s="4">
        <v>4.2</v>
      </c>
      <c r="L104" s="4">
        <v>4.2</v>
      </c>
      <c r="M104" s="4">
        <v>4.45</v>
      </c>
      <c r="N104" s="4">
        <v>4.34</v>
      </c>
    </row>
    <row r="105" spans="1:14" x14ac:dyDescent="0.2">
      <c r="A105" s="3">
        <v>45378</v>
      </c>
      <c r="B105" s="4">
        <v>5.5</v>
      </c>
      <c r="C105" s="4">
        <v>5.47</v>
      </c>
      <c r="D105" s="4">
        <v>5.45</v>
      </c>
      <c r="E105" s="4">
        <v>5.41</v>
      </c>
      <c r="F105" s="4">
        <v>5.36</v>
      </c>
      <c r="G105" s="4">
        <v>4.99</v>
      </c>
      <c r="H105" s="4">
        <v>4.54</v>
      </c>
      <c r="I105" s="4">
        <v>4.3600000000000003</v>
      </c>
      <c r="J105" s="4">
        <v>4.18</v>
      </c>
      <c r="K105" s="4">
        <v>4.18</v>
      </c>
      <c r="L105" s="4">
        <v>4.2</v>
      </c>
      <c r="M105" s="4">
        <v>4.45</v>
      </c>
      <c r="N105" s="4">
        <v>4.3600000000000003</v>
      </c>
    </row>
    <row r="106" spans="1:14" x14ac:dyDescent="0.2">
      <c r="A106" s="3">
        <v>45377</v>
      </c>
      <c r="B106" s="4">
        <v>5.5</v>
      </c>
      <c r="C106" s="4">
        <v>5.47</v>
      </c>
      <c r="D106" s="4">
        <v>5.46</v>
      </c>
      <c r="E106" s="4">
        <v>5.41</v>
      </c>
      <c r="F106" s="4">
        <v>5.36</v>
      </c>
      <c r="G106" s="4">
        <v>5</v>
      </c>
      <c r="H106" s="4">
        <v>4.5599999999999996</v>
      </c>
      <c r="I106" s="4">
        <v>4.38</v>
      </c>
      <c r="J106" s="4">
        <v>4.22</v>
      </c>
      <c r="K106" s="4">
        <v>4.2300000000000004</v>
      </c>
      <c r="L106" s="4">
        <v>4.24</v>
      </c>
      <c r="M106" s="4">
        <v>4.49</v>
      </c>
      <c r="N106" s="4">
        <v>4.4000000000000004</v>
      </c>
    </row>
    <row r="107" spans="1:14" x14ac:dyDescent="0.2">
      <c r="A107" s="3">
        <v>45376</v>
      </c>
      <c r="B107" s="4">
        <v>5.51</v>
      </c>
      <c r="C107" s="4">
        <v>5.48</v>
      </c>
      <c r="D107" s="4">
        <v>5.46</v>
      </c>
      <c r="E107" s="4">
        <v>5.41</v>
      </c>
      <c r="F107" s="4">
        <v>5.36</v>
      </c>
      <c r="G107" s="4">
        <v>5</v>
      </c>
      <c r="H107" s="4">
        <v>4.54</v>
      </c>
      <c r="I107" s="4">
        <v>4.3899999999999997</v>
      </c>
      <c r="J107" s="4">
        <v>4.2300000000000004</v>
      </c>
      <c r="K107" s="4">
        <v>4.25</v>
      </c>
      <c r="L107" s="4">
        <v>4.25</v>
      </c>
      <c r="M107" s="4">
        <v>4.51</v>
      </c>
      <c r="N107" s="4">
        <v>4.42</v>
      </c>
    </row>
    <row r="108" spans="1:14" x14ac:dyDescent="0.2">
      <c r="A108" s="3">
        <v>45373</v>
      </c>
      <c r="B108" s="4">
        <v>5.51</v>
      </c>
      <c r="C108" s="4">
        <v>5.47</v>
      </c>
      <c r="D108" s="4">
        <v>5.46</v>
      </c>
      <c r="E108" s="4">
        <v>5.4</v>
      </c>
      <c r="F108" s="4">
        <v>5.34</v>
      </c>
      <c r="G108" s="4">
        <v>4.9800000000000004</v>
      </c>
      <c r="H108" s="4">
        <v>4.59</v>
      </c>
      <c r="I108" s="4">
        <v>4.3600000000000003</v>
      </c>
      <c r="J108" s="4">
        <v>4.2</v>
      </c>
      <c r="K108" s="4">
        <v>4.22</v>
      </c>
      <c r="L108" s="4">
        <v>4.22</v>
      </c>
      <c r="M108" s="4">
        <v>4.47</v>
      </c>
      <c r="N108" s="4">
        <v>4.3899999999999997</v>
      </c>
    </row>
    <row r="109" spans="1:14" x14ac:dyDescent="0.2">
      <c r="A109" s="3">
        <v>45372</v>
      </c>
      <c r="B109" s="4">
        <v>5.51</v>
      </c>
      <c r="C109" s="4">
        <v>5.48</v>
      </c>
      <c r="D109" s="4">
        <v>5.48</v>
      </c>
      <c r="E109" s="4">
        <v>5.4</v>
      </c>
      <c r="F109" s="4">
        <v>5.36</v>
      </c>
      <c r="G109" s="4">
        <v>5.01</v>
      </c>
      <c r="H109" s="4">
        <v>4.62</v>
      </c>
      <c r="I109" s="4">
        <v>4.42</v>
      </c>
      <c r="J109" s="4">
        <v>4.26</v>
      </c>
      <c r="K109" s="4">
        <v>4.28</v>
      </c>
      <c r="L109" s="4">
        <v>4.2699999999999996</v>
      </c>
      <c r="M109" s="4">
        <v>4.53</v>
      </c>
      <c r="N109" s="4">
        <v>4.4400000000000004</v>
      </c>
    </row>
    <row r="110" spans="1:14" x14ac:dyDescent="0.2">
      <c r="A110" s="3">
        <v>45371</v>
      </c>
      <c r="B110" s="4">
        <v>5.5</v>
      </c>
      <c r="C110" s="4">
        <v>5.47</v>
      </c>
      <c r="D110" s="4">
        <v>5.47</v>
      </c>
      <c r="E110" s="4">
        <v>5.41</v>
      </c>
      <c r="F110" s="4">
        <v>5.36</v>
      </c>
      <c r="G110" s="4">
        <v>5.01</v>
      </c>
      <c r="H110" s="4">
        <v>4.59</v>
      </c>
      <c r="I110" s="4">
        <v>4.41</v>
      </c>
      <c r="J110" s="4">
        <v>4.25</v>
      </c>
      <c r="K110" s="4">
        <v>4.28</v>
      </c>
      <c r="L110" s="4">
        <v>4.2699999999999996</v>
      </c>
      <c r="M110" s="4">
        <v>4.53</v>
      </c>
      <c r="N110" s="4">
        <v>4.45</v>
      </c>
    </row>
    <row r="111" spans="1:14" x14ac:dyDescent="0.2">
      <c r="A111" s="3">
        <v>45370</v>
      </c>
      <c r="B111" s="4">
        <v>5.52</v>
      </c>
      <c r="C111" s="4">
        <v>5.48</v>
      </c>
      <c r="D111" s="4">
        <v>5.48</v>
      </c>
      <c r="E111" s="4">
        <v>5.41</v>
      </c>
      <c r="F111" s="4">
        <v>5.39</v>
      </c>
      <c r="G111" s="4">
        <v>5.0599999999999996</v>
      </c>
      <c r="H111" s="4">
        <v>4.68</v>
      </c>
      <c r="I111" s="4">
        <v>4.47</v>
      </c>
      <c r="J111" s="4">
        <v>4.3099999999999996</v>
      </c>
      <c r="K111" s="4">
        <v>4.3099999999999996</v>
      </c>
      <c r="L111" s="4">
        <v>4.3</v>
      </c>
      <c r="M111" s="4">
        <v>4.54</v>
      </c>
      <c r="N111" s="4">
        <v>4.4400000000000004</v>
      </c>
    </row>
    <row r="112" spans="1:14" x14ac:dyDescent="0.2">
      <c r="A112" s="3">
        <v>45369</v>
      </c>
      <c r="B112" s="4">
        <v>5.52</v>
      </c>
      <c r="C112" s="4">
        <v>5.48</v>
      </c>
      <c r="D112" s="4">
        <v>5.48</v>
      </c>
      <c r="E112" s="4">
        <v>5.41</v>
      </c>
      <c r="F112" s="4">
        <v>5.39</v>
      </c>
      <c r="G112" s="4">
        <v>5.0599999999999996</v>
      </c>
      <c r="H112" s="4">
        <v>4.7300000000000004</v>
      </c>
      <c r="I112" s="4">
        <v>4.5199999999999996</v>
      </c>
      <c r="J112" s="4">
        <v>4.3600000000000003</v>
      </c>
      <c r="K112" s="4">
        <v>4.3499999999999996</v>
      </c>
      <c r="L112" s="4">
        <v>4.34</v>
      </c>
      <c r="M112" s="4">
        <v>4.57</v>
      </c>
      <c r="N112" s="4">
        <v>4.46</v>
      </c>
    </row>
    <row r="113" spans="1:14" x14ac:dyDescent="0.2">
      <c r="A113" s="3">
        <v>45366</v>
      </c>
      <c r="B113" s="4">
        <v>5.52</v>
      </c>
      <c r="C113" s="4">
        <v>5.48</v>
      </c>
      <c r="D113" s="4">
        <v>5.48</v>
      </c>
      <c r="E113" s="4">
        <v>5.41</v>
      </c>
      <c r="F113" s="4">
        <v>5.38</v>
      </c>
      <c r="G113" s="4">
        <v>5.05</v>
      </c>
      <c r="H113" s="4">
        <v>4.72</v>
      </c>
      <c r="I113" s="4">
        <v>4.51</v>
      </c>
      <c r="J113" s="4">
        <v>4.33</v>
      </c>
      <c r="K113" s="4">
        <v>4.33</v>
      </c>
      <c r="L113" s="4">
        <v>4.3099999999999996</v>
      </c>
      <c r="M113" s="4">
        <v>4.55</v>
      </c>
      <c r="N113" s="4">
        <v>4.43</v>
      </c>
    </row>
    <row r="114" spans="1:14" x14ac:dyDescent="0.2">
      <c r="A114" s="3">
        <v>45365</v>
      </c>
      <c r="B114" s="4">
        <v>5.52</v>
      </c>
      <c r="C114" s="4">
        <v>5.48</v>
      </c>
      <c r="D114" s="4">
        <v>5.48</v>
      </c>
      <c r="E114" s="4">
        <v>5.42</v>
      </c>
      <c r="F114" s="4">
        <v>5.38</v>
      </c>
      <c r="G114" s="4">
        <v>5.04</v>
      </c>
      <c r="H114" s="4">
        <v>4.68</v>
      </c>
      <c r="I114" s="4">
        <v>4.46</v>
      </c>
      <c r="J114" s="4">
        <v>4.29</v>
      </c>
      <c r="K114" s="4">
        <v>4.3</v>
      </c>
      <c r="L114" s="4">
        <v>4.29</v>
      </c>
      <c r="M114" s="4">
        <v>4.54</v>
      </c>
      <c r="N114" s="4">
        <v>4.4400000000000004</v>
      </c>
    </row>
    <row r="115" spans="1:14" x14ac:dyDescent="0.2">
      <c r="A115" s="3">
        <v>45364</v>
      </c>
      <c r="B115" s="4">
        <v>5.52</v>
      </c>
      <c r="C115" s="4">
        <v>5.47</v>
      </c>
      <c r="D115" s="4">
        <v>5.48</v>
      </c>
      <c r="E115" s="4">
        <v>5.41</v>
      </c>
      <c r="F115" s="4">
        <v>5.37</v>
      </c>
      <c r="G115" s="4">
        <v>5.01</v>
      </c>
      <c r="H115" s="4">
        <v>4.6100000000000003</v>
      </c>
      <c r="I115" s="4">
        <v>4.37</v>
      </c>
      <c r="J115" s="4">
        <v>4.1900000000000004</v>
      </c>
      <c r="K115" s="4">
        <v>4.2</v>
      </c>
      <c r="L115" s="4">
        <v>4.1900000000000004</v>
      </c>
      <c r="M115" s="4">
        <v>4.45</v>
      </c>
      <c r="N115" s="4">
        <v>4.3499999999999996</v>
      </c>
    </row>
    <row r="116" spans="1:14" x14ac:dyDescent="0.2">
      <c r="A116" s="3">
        <v>45363</v>
      </c>
      <c r="B116" s="4">
        <v>5.52</v>
      </c>
      <c r="C116" s="4">
        <v>5.48</v>
      </c>
      <c r="D116" s="4">
        <v>5.48</v>
      </c>
      <c r="E116" s="4">
        <v>5.41</v>
      </c>
      <c r="F116" s="4">
        <v>5.37</v>
      </c>
      <c r="G116" s="4">
        <v>5</v>
      </c>
      <c r="H116" s="4">
        <v>4.58</v>
      </c>
      <c r="I116" s="4">
        <v>4.33</v>
      </c>
      <c r="J116" s="4">
        <v>4.1500000000000004</v>
      </c>
      <c r="K116" s="4">
        <v>4.16</v>
      </c>
      <c r="L116" s="4">
        <v>4.16</v>
      </c>
      <c r="M116" s="4">
        <v>4.42</v>
      </c>
      <c r="N116" s="4">
        <v>4.3099999999999996</v>
      </c>
    </row>
    <row r="117" spans="1:14" x14ac:dyDescent="0.2">
      <c r="A117" s="3">
        <v>45362</v>
      </c>
      <c r="B117" s="4">
        <v>5.5</v>
      </c>
      <c r="C117" s="4">
        <v>5.47</v>
      </c>
      <c r="D117" s="4">
        <v>5.48</v>
      </c>
      <c r="E117" s="4">
        <v>5.41</v>
      </c>
      <c r="F117" s="4">
        <v>5.35</v>
      </c>
      <c r="G117" s="4">
        <v>4.95</v>
      </c>
      <c r="H117" s="4">
        <v>4.51</v>
      </c>
      <c r="I117" s="4">
        <v>4.26</v>
      </c>
      <c r="J117" s="4">
        <v>4.08</v>
      </c>
      <c r="K117" s="4">
        <v>4.09</v>
      </c>
      <c r="L117" s="4">
        <v>4.0999999999999996</v>
      </c>
      <c r="M117" s="4">
        <v>4.3600000000000003</v>
      </c>
      <c r="N117" s="4">
        <v>4.26</v>
      </c>
    </row>
    <row r="118" spans="1:14" x14ac:dyDescent="0.2">
      <c r="A118" s="3">
        <v>45359</v>
      </c>
      <c r="B118" s="4">
        <v>5.51</v>
      </c>
      <c r="C118" s="4">
        <v>5.48</v>
      </c>
      <c r="D118" s="4">
        <v>5.46</v>
      </c>
      <c r="E118" s="4">
        <v>5.4</v>
      </c>
      <c r="F118" s="4">
        <v>5.34</v>
      </c>
      <c r="G118" s="4">
        <v>4.92</v>
      </c>
      <c r="H118" s="4">
        <v>4.4800000000000004</v>
      </c>
      <c r="I118" s="4">
        <v>4.25</v>
      </c>
      <c r="J118" s="4">
        <v>4.0599999999999996</v>
      </c>
      <c r="K118" s="4">
        <v>4.08</v>
      </c>
      <c r="L118" s="4">
        <v>4.09</v>
      </c>
      <c r="M118" s="4">
        <v>4.3600000000000003</v>
      </c>
      <c r="N118" s="4">
        <v>4.26</v>
      </c>
    </row>
    <row r="119" spans="1:14" x14ac:dyDescent="0.2">
      <c r="A119" s="3">
        <v>45358</v>
      </c>
      <c r="B119" s="4">
        <v>5.51</v>
      </c>
      <c r="C119" s="4">
        <v>5.48</v>
      </c>
      <c r="D119" s="4">
        <v>5.47</v>
      </c>
      <c r="E119" s="4">
        <v>5.4</v>
      </c>
      <c r="F119" s="4">
        <v>5.34</v>
      </c>
      <c r="G119" s="4">
        <v>4.93</v>
      </c>
      <c r="H119" s="4">
        <v>4.5</v>
      </c>
      <c r="I119" s="4">
        <v>4.28</v>
      </c>
      <c r="J119" s="4">
        <v>4.07</v>
      </c>
      <c r="K119" s="4">
        <v>4.09</v>
      </c>
      <c r="L119" s="4">
        <v>4.09</v>
      </c>
      <c r="M119" s="4">
        <v>4.3499999999999996</v>
      </c>
      <c r="N119" s="4">
        <v>4.25</v>
      </c>
    </row>
    <row r="120" spans="1:14" x14ac:dyDescent="0.2">
      <c r="A120" s="3">
        <v>45357</v>
      </c>
      <c r="B120" s="4">
        <v>5.5</v>
      </c>
      <c r="C120" s="4">
        <v>5.47</v>
      </c>
      <c r="D120" s="4">
        <v>5.47</v>
      </c>
      <c r="E120" s="4">
        <v>5.4</v>
      </c>
      <c r="F120" s="4">
        <v>5.35</v>
      </c>
      <c r="G120" s="4">
        <v>4.95</v>
      </c>
      <c r="H120" s="4">
        <v>4.55</v>
      </c>
      <c r="I120" s="4">
        <v>4.32</v>
      </c>
      <c r="J120" s="4">
        <v>4.12</v>
      </c>
      <c r="K120" s="4">
        <v>4.12</v>
      </c>
      <c r="L120" s="4">
        <v>4.1100000000000003</v>
      </c>
      <c r="M120" s="4">
        <v>4.3600000000000003</v>
      </c>
      <c r="N120" s="4">
        <v>4.24</v>
      </c>
    </row>
    <row r="121" spans="1:14" x14ac:dyDescent="0.2">
      <c r="A121" s="3">
        <v>45356</v>
      </c>
      <c r="B121" s="4">
        <v>5.5</v>
      </c>
      <c r="C121" s="4">
        <v>5.47</v>
      </c>
      <c r="D121" s="4">
        <v>5.47</v>
      </c>
      <c r="E121" s="4">
        <v>5.4</v>
      </c>
      <c r="F121" s="4">
        <v>5.35</v>
      </c>
      <c r="G121" s="4">
        <v>4.9400000000000004</v>
      </c>
      <c r="H121" s="4">
        <v>4.54</v>
      </c>
      <c r="I121" s="4">
        <v>4.32</v>
      </c>
      <c r="J121" s="4">
        <v>4.13</v>
      </c>
      <c r="K121" s="4">
        <v>4.1500000000000004</v>
      </c>
      <c r="L121" s="4">
        <v>4.13</v>
      </c>
      <c r="M121" s="4">
        <v>4.3899999999999997</v>
      </c>
      <c r="N121" s="4">
        <v>4.2699999999999996</v>
      </c>
    </row>
    <row r="122" spans="1:14" x14ac:dyDescent="0.2">
      <c r="A122" s="3">
        <v>45355</v>
      </c>
      <c r="B122" s="4">
        <v>5.51</v>
      </c>
      <c r="C122" s="4">
        <v>5.49</v>
      </c>
      <c r="D122" s="4">
        <v>5.48</v>
      </c>
      <c r="E122" s="4">
        <v>5.42</v>
      </c>
      <c r="F122" s="4">
        <v>5.37</v>
      </c>
      <c r="G122" s="4">
        <v>4.9800000000000004</v>
      </c>
      <c r="H122" s="4">
        <v>4.6100000000000003</v>
      </c>
      <c r="I122" s="4">
        <v>4.3899999999999997</v>
      </c>
      <c r="J122" s="4">
        <v>4.21</v>
      </c>
      <c r="K122" s="4">
        <v>4.2300000000000004</v>
      </c>
      <c r="L122" s="4">
        <v>4.22</v>
      </c>
      <c r="M122" s="4">
        <v>4.4800000000000004</v>
      </c>
      <c r="N122" s="4">
        <v>4.3600000000000003</v>
      </c>
    </row>
    <row r="123" spans="1:14" x14ac:dyDescent="0.2">
      <c r="A123" s="3">
        <v>45352</v>
      </c>
      <c r="B123" s="4">
        <v>5.54</v>
      </c>
      <c r="C123" s="4">
        <v>5.49</v>
      </c>
      <c r="D123" s="4">
        <v>5.42</v>
      </c>
      <c r="E123" s="4">
        <v>5.41</v>
      </c>
      <c r="F123" s="4">
        <v>5.27</v>
      </c>
      <c r="G123" s="4">
        <v>4.9400000000000004</v>
      </c>
      <c r="H123" s="4">
        <v>4.54</v>
      </c>
      <c r="I123" s="4">
        <v>4.32</v>
      </c>
      <c r="J123" s="4">
        <v>4.17</v>
      </c>
      <c r="K123" s="4">
        <v>4.2</v>
      </c>
      <c r="L123" s="4">
        <v>4.1900000000000004</v>
      </c>
      <c r="M123" s="4">
        <v>4.46</v>
      </c>
      <c r="N123" s="4">
        <v>4.33</v>
      </c>
    </row>
    <row r="124" spans="1:14" x14ac:dyDescent="0.2">
      <c r="A124" s="3">
        <v>45351</v>
      </c>
      <c r="B124" s="4">
        <v>5.53</v>
      </c>
      <c r="C124" s="4">
        <v>5.5</v>
      </c>
      <c r="D124" s="4">
        <v>5.45</v>
      </c>
      <c r="E124" s="4">
        <v>5.43</v>
      </c>
      <c r="F124" s="4">
        <v>5.3</v>
      </c>
      <c r="G124" s="4">
        <v>5.01</v>
      </c>
      <c r="H124" s="4">
        <v>4.6399999999999997</v>
      </c>
      <c r="I124" s="4">
        <v>4.43</v>
      </c>
      <c r="J124" s="4">
        <v>4.26</v>
      </c>
      <c r="K124" s="4">
        <v>4.28</v>
      </c>
      <c r="L124" s="4">
        <v>4.25</v>
      </c>
      <c r="M124" s="4">
        <v>4.51</v>
      </c>
      <c r="N124" s="4">
        <v>4.38</v>
      </c>
    </row>
    <row r="125" spans="1:14" x14ac:dyDescent="0.2">
      <c r="A125" s="3">
        <v>45350</v>
      </c>
      <c r="B125" s="4">
        <v>5.5</v>
      </c>
      <c r="C125" s="4">
        <v>5.51</v>
      </c>
      <c r="D125" s="4">
        <v>5.45</v>
      </c>
      <c r="E125" s="4">
        <v>5.43</v>
      </c>
      <c r="F125" s="4">
        <v>5.31</v>
      </c>
      <c r="G125" s="4">
        <v>5</v>
      </c>
      <c r="H125" s="4">
        <v>4.6399999999999997</v>
      </c>
      <c r="I125" s="4">
        <v>4.4400000000000004</v>
      </c>
      <c r="J125" s="4">
        <v>4.26</v>
      </c>
      <c r="K125" s="4">
        <v>4.28</v>
      </c>
      <c r="L125" s="4">
        <v>4.2699999999999996</v>
      </c>
      <c r="M125" s="4">
        <v>4.53</v>
      </c>
      <c r="N125" s="4">
        <v>4.4000000000000004</v>
      </c>
    </row>
    <row r="126" spans="1:14" x14ac:dyDescent="0.2">
      <c r="A126" s="3">
        <v>45349</v>
      </c>
      <c r="B126" s="4">
        <v>5.5</v>
      </c>
      <c r="C126" s="4">
        <v>5.52</v>
      </c>
      <c r="D126" s="4">
        <v>5.45</v>
      </c>
      <c r="E126" s="4">
        <v>5.47</v>
      </c>
      <c r="F126" s="4">
        <v>5.33</v>
      </c>
      <c r="G126" s="4">
        <v>5.03</v>
      </c>
      <c r="H126" s="4">
        <v>4.7</v>
      </c>
      <c r="I126" s="4">
        <v>4.5</v>
      </c>
      <c r="J126" s="4">
        <v>4.32</v>
      </c>
      <c r="K126" s="4">
        <v>4.34</v>
      </c>
      <c r="L126" s="4">
        <v>4.3099999999999996</v>
      </c>
      <c r="M126" s="4">
        <v>4.57</v>
      </c>
      <c r="N126" s="4">
        <v>4.4400000000000004</v>
      </c>
    </row>
    <row r="127" spans="1:14" x14ac:dyDescent="0.2">
      <c r="A127" s="3">
        <v>45348</v>
      </c>
      <c r="B127" s="4">
        <v>5.5</v>
      </c>
      <c r="C127" s="4">
        <v>5.52</v>
      </c>
      <c r="D127" s="4">
        <v>5.47</v>
      </c>
      <c r="E127" s="4">
        <v>5.47</v>
      </c>
      <c r="F127" s="4">
        <v>5.34</v>
      </c>
      <c r="G127" s="4">
        <v>5.03</v>
      </c>
      <c r="H127" s="4">
        <v>4.6900000000000004</v>
      </c>
      <c r="I127" s="4">
        <v>4.4800000000000004</v>
      </c>
      <c r="J127" s="4">
        <v>4.29</v>
      </c>
      <c r="K127" s="4">
        <v>4.32</v>
      </c>
      <c r="L127" s="4">
        <v>4.28</v>
      </c>
      <c r="M127" s="4">
        <v>4.53</v>
      </c>
      <c r="N127" s="4">
        <v>4.4000000000000004</v>
      </c>
    </row>
    <row r="128" spans="1:14" x14ac:dyDescent="0.2">
      <c r="A128" s="3">
        <v>45345</v>
      </c>
      <c r="B128" s="4">
        <v>5.49</v>
      </c>
      <c r="C128" s="4">
        <v>5.51</v>
      </c>
      <c r="D128" s="4">
        <v>5.46</v>
      </c>
      <c r="E128" s="4">
        <v>5.46</v>
      </c>
      <c r="F128" s="4">
        <v>5.32</v>
      </c>
      <c r="G128" s="4">
        <v>5</v>
      </c>
      <c r="H128" s="4">
        <v>4.67</v>
      </c>
      <c r="I128" s="4">
        <v>4.45</v>
      </c>
      <c r="J128" s="4">
        <v>4.28</v>
      </c>
      <c r="K128" s="4">
        <v>4.28</v>
      </c>
      <c r="L128" s="4">
        <v>4.26</v>
      </c>
      <c r="M128" s="4">
        <v>4.51</v>
      </c>
      <c r="N128" s="4">
        <v>4.37</v>
      </c>
    </row>
    <row r="129" spans="1:14" x14ac:dyDescent="0.2">
      <c r="A129" s="3">
        <v>45344</v>
      </c>
      <c r="B129" s="4">
        <v>5.49</v>
      </c>
      <c r="C129" s="4">
        <v>5.51</v>
      </c>
      <c r="D129" s="4">
        <v>5.45</v>
      </c>
      <c r="E129" s="4">
        <v>5.45</v>
      </c>
      <c r="F129" s="4">
        <v>5.32</v>
      </c>
      <c r="G129" s="4">
        <v>5.0199999999999996</v>
      </c>
      <c r="H129" s="4">
        <v>4.6900000000000004</v>
      </c>
      <c r="I129" s="4">
        <v>4.49</v>
      </c>
      <c r="J129" s="4">
        <v>4.33</v>
      </c>
      <c r="K129" s="4">
        <v>4.3499999999999996</v>
      </c>
      <c r="L129" s="4">
        <v>4.33</v>
      </c>
      <c r="M129" s="4">
        <v>4.58</v>
      </c>
      <c r="N129" s="4">
        <v>4.47</v>
      </c>
    </row>
    <row r="130" spans="1:14" x14ac:dyDescent="0.2">
      <c r="A130" s="3">
        <v>45343</v>
      </c>
      <c r="B130" s="4">
        <v>5.5</v>
      </c>
      <c r="C130" s="4">
        <v>5.5</v>
      </c>
      <c r="D130" s="4">
        <v>5.44</v>
      </c>
      <c r="E130" s="4">
        <v>5.45</v>
      </c>
      <c r="F130" s="4">
        <v>5.32</v>
      </c>
      <c r="G130" s="4">
        <v>4.9800000000000004</v>
      </c>
      <c r="H130" s="4">
        <v>4.6399999999999997</v>
      </c>
      <c r="I130" s="4">
        <v>4.43</v>
      </c>
      <c r="J130" s="4">
        <v>4.3</v>
      </c>
      <c r="K130" s="4">
        <v>4.33</v>
      </c>
      <c r="L130" s="4">
        <v>4.32</v>
      </c>
      <c r="M130" s="4">
        <v>4.59</v>
      </c>
      <c r="N130" s="4">
        <v>4.49</v>
      </c>
    </row>
    <row r="131" spans="1:14" x14ac:dyDescent="0.2">
      <c r="A131" s="3">
        <v>45342</v>
      </c>
      <c r="B131" s="4">
        <v>5.49</v>
      </c>
      <c r="C131" s="4">
        <v>5.49</v>
      </c>
      <c r="D131" s="4">
        <v>5.44</v>
      </c>
      <c r="E131" s="4">
        <v>5.45</v>
      </c>
      <c r="F131" s="4">
        <v>5.32</v>
      </c>
      <c r="G131" s="4">
        <v>4.97</v>
      </c>
      <c r="H131" s="4">
        <v>4.59</v>
      </c>
      <c r="I131" s="4">
        <v>4.38</v>
      </c>
      <c r="J131" s="4">
        <v>4.25</v>
      </c>
      <c r="K131" s="4">
        <v>4.28</v>
      </c>
      <c r="L131" s="4">
        <v>4.2699999999999996</v>
      </c>
      <c r="M131" s="4">
        <v>4.5599999999999996</v>
      </c>
      <c r="N131" s="4">
        <v>4.4400000000000004</v>
      </c>
    </row>
    <row r="132" spans="1:14" x14ac:dyDescent="0.2">
      <c r="A132" s="3">
        <v>45338</v>
      </c>
      <c r="B132" s="4">
        <v>5.48</v>
      </c>
      <c r="C132" s="4">
        <v>5.51</v>
      </c>
      <c r="D132" s="4">
        <v>5.44</v>
      </c>
      <c r="E132" s="4">
        <v>5.45</v>
      </c>
      <c r="F132" s="4">
        <v>5.31</v>
      </c>
      <c r="G132" s="4">
        <v>4.9800000000000004</v>
      </c>
      <c r="H132" s="4">
        <v>4.6399999999999997</v>
      </c>
      <c r="I132" s="4">
        <v>4.43</v>
      </c>
      <c r="J132" s="4">
        <v>4.29</v>
      </c>
      <c r="K132" s="4">
        <v>4.3099999999999996</v>
      </c>
      <c r="L132" s="4">
        <v>4.3</v>
      </c>
      <c r="M132" s="4">
        <v>4.58</v>
      </c>
      <c r="N132" s="4">
        <v>4.45</v>
      </c>
    </row>
    <row r="133" spans="1:14" x14ac:dyDescent="0.2">
      <c r="A133" s="3">
        <v>45337</v>
      </c>
      <c r="B133" s="4">
        <v>5.49</v>
      </c>
      <c r="C133" s="4">
        <v>5.51</v>
      </c>
      <c r="D133" s="4">
        <v>5.43</v>
      </c>
      <c r="E133" s="4">
        <v>5.45</v>
      </c>
      <c r="F133" s="4">
        <v>5.3</v>
      </c>
      <c r="G133" s="4">
        <v>4.93</v>
      </c>
      <c r="H133" s="4">
        <v>4.5599999999999996</v>
      </c>
      <c r="I133" s="4">
        <v>4.3600000000000003</v>
      </c>
      <c r="J133" s="4">
        <v>4.22</v>
      </c>
      <c r="K133" s="4">
        <v>4.25</v>
      </c>
      <c r="L133" s="4">
        <v>4.24</v>
      </c>
      <c r="M133" s="4">
        <v>4.54</v>
      </c>
      <c r="N133" s="4">
        <v>4.42</v>
      </c>
    </row>
    <row r="134" spans="1:14" x14ac:dyDescent="0.2">
      <c r="A134" s="3">
        <v>45336</v>
      </c>
      <c r="B134" s="4">
        <v>5.48</v>
      </c>
      <c r="C134" s="4">
        <v>5.51</v>
      </c>
      <c r="D134" s="4">
        <v>5.43</v>
      </c>
      <c r="E134" s="4">
        <v>5.45</v>
      </c>
      <c r="F134" s="4">
        <v>5.31</v>
      </c>
      <c r="G134" s="4">
        <v>4.9400000000000004</v>
      </c>
      <c r="H134" s="4">
        <v>4.5599999999999996</v>
      </c>
      <c r="I134" s="4">
        <v>4.38</v>
      </c>
      <c r="J134" s="4">
        <v>4.25</v>
      </c>
      <c r="K134" s="4">
        <v>4.2699999999999996</v>
      </c>
      <c r="L134" s="4">
        <v>4.2699999999999996</v>
      </c>
      <c r="M134" s="4">
        <v>4.57</v>
      </c>
      <c r="N134" s="4">
        <v>4.45</v>
      </c>
    </row>
    <row r="135" spans="1:14" x14ac:dyDescent="0.2">
      <c r="A135" s="3">
        <v>45335</v>
      </c>
      <c r="B135" s="4">
        <v>5.48</v>
      </c>
      <c r="C135" s="4">
        <v>5.52</v>
      </c>
      <c r="D135" s="4">
        <v>5.45</v>
      </c>
      <c r="E135" s="4">
        <v>5.46</v>
      </c>
      <c r="F135" s="4">
        <v>5.32</v>
      </c>
      <c r="G135" s="4">
        <v>4.99</v>
      </c>
      <c r="H135" s="4">
        <v>4.6399999999999997</v>
      </c>
      <c r="I135" s="4">
        <v>4.4400000000000004</v>
      </c>
      <c r="J135" s="4">
        <v>4.3099999999999996</v>
      </c>
      <c r="K135" s="4">
        <v>4.33</v>
      </c>
      <c r="L135" s="4">
        <v>4.3099999999999996</v>
      </c>
      <c r="M135" s="4">
        <v>4.59</v>
      </c>
      <c r="N135" s="4">
        <v>4.46</v>
      </c>
    </row>
    <row r="136" spans="1:14" x14ac:dyDescent="0.2">
      <c r="A136" s="3">
        <v>45334</v>
      </c>
      <c r="B136" s="4">
        <v>5.49</v>
      </c>
      <c r="C136" s="4">
        <v>5.51</v>
      </c>
      <c r="D136" s="4">
        <v>5.43</v>
      </c>
      <c r="E136" s="4">
        <v>5.43</v>
      </c>
      <c r="F136" s="4">
        <v>5.27</v>
      </c>
      <c r="G136" s="4">
        <v>4.87</v>
      </c>
      <c r="H136" s="4">
        <v>4.46</v>
      </c>
      <c r="I136" s="4">
        <v>4.25</v>
      </c>
      <c r="J136" s="4">
        <v>4.13</v>
      </c>
      <c r="K136" s="4">
        <v>4.16</v>
      </c>
      <c r="L136" s="4">
        <v>4.17</v>
      </c>
      <c r="M136" s="4">
        <v>4.4800000000000004</v>
      </c>
      <c r="N136" s="4">
        <v>4.37</v>
      </c>
    </row>
    <row r="137" spans="1:14" x14ac:dyDescent="0.2">
      <c r="A137" s="3">
        <v>45331</v>
      </c>
      <c r="B137" s="4">
        <v>5.49</v>
      </c>
      <c r="C137" s="4">
        <v>5.51</v>
      </c>
      <c r="D137" s="4">
        <v>5.44</v>
      </c>
      <c r="E137" s="4">
        <v>5.43</v>
      </c>
      <c r="F137" s="4">
        <v>5.26</v>
      </c>
      <c r="G137" s="4">
        <v>4.8600000000000003</v>
      </c>
      <c r="H137" s="4">
        <v>4.4800000000000004</v>
      </c>
      <c r="I137" s="4">
        <v>4.25</v>
      </c>
      <c r="J137" s="4">
        <v>4.1399999999999997</v>
      </c>
      <c r="K137" s="4">
        <v>4.17</v>
      </c>
      <c r="L137" s="4">
        <v>4.17</v>
      </c>
      <c r="M137" s="4">
        <v>4.4800000000000004</v>
      </c>
      <c r="N137" s="4">
        <v>4.37</v>
      </c>
    </row>
    <row r="138" spans="1:14" x14ac:dyDescent="0.2">
      <c r="A138" s="3">
        <v>45330</v>
      </c>
      <c r="B138" s="4">
        <v>5.49</v>
      </c>
      <c r="C138" s="4">
        <v>5.51</v>
      </c>
      <c r="D138" s="4">
        <v>5.44</v>
      </c>
      <c r="E138" s="4">
        <v>5.42</v>
      </c>
      <c r="F138" s="4">
        <v>5.24</v>
      </c>
      <c r="G138" s="4">
        <v>4.83</v>
      </c>
      <c r="H138" s="4">
        <v>4.46</v>
      </c>
      <c r="I138" s="4">
        <v>4.22</v>
      </c>
      <c r="J138" s="4">
        <v>4.12</v>
      </c>
      <c r="K138" s="4">
        <v>4.1500000000000004</v>
      </c>
      <c r="L138" s="4">
        <v>4.1500000000000004</v>
      </c>
      <c r="M138" s="4">
        <v>4.47</v>
      </c>
      <c r="N138" s="4">
        <v>4.3600000000000003</v>
      </c>
    </row>
    <row r="139" spans="1:14" x14ac:dyDescent="0.2">
      <c r="A139" s="3">
        <v>45329</v>
      </c>
      <c r="B139" s="4">
        <v>5.47</v>
      </c>
      <c r="C139" s="4">
        <v>5.49</v>
      </c>
      <c r="D139" s="4">
        <v>5.43</v>
      </c>
      <c r="E139" s="4">
        <v>5.4</v>
      </c>
      <c r="F139" s="4">
        <v>5.23</v>
      </c>
      <c r="G139" s="4">
        <v>4.83</v>
      </c>
      <c r="H139" s="4">
        <v>4.41</v>
      </c>
      <c r="I139" s="4">
        <v>4.16</v>
      </c>
      <c r="J139" s="4">
        <v>4.0599999999999996</v>
      </c>
      <c r="K139" s="4">
        <v>4.09</v>
      </c>
      <c r="L139" s="4">
        <v>4.09</v>
      </c>
      <c r="M139" s="4">
        <v>4.41</v>
      </c>
      <c r="N139" s="4">
        <v>4.3099999999999996</v>
      </c>
    </row>
    <row r="140" spans="1:14" x14ac:dyDescent="0.2">
      <c r="A140" s="3">
        <v>45328</v>
      </c>
      <c r="B140" s="4">
        <v>5.48</v>
      </c>
      <c r="C140" s="4">
        <v>5.5</v>
      </c>
      <c r="D140" s="4">
        <v>5.44</v>
      </c>
      <c r="E140" s="4">
        <v>5.41</v>
      </c>
      <c r="F140" s="4">
        <v>5.23</v>
      </c>
      <c r="G140" s="4">
        <v>4.82</v>
      </c>
      <c r="H140" s="4">
        <v>4.3899999999999997</v>
      </c>
      <c r="I140" s="4">
        <v>4.1399999999999997</v>
      </c>
      <c r="J140" s="4">
        <v>4.03</v>
      </c>
      <c r="K140" s="4">
        <v>4.07</v>
      </c>
      <c r="L140" s="4">
        <v>4.09</v>
      </c>
      <c r="M140" s="4">
        <v>4.3899999999999997</v>
      </c>
      <c r="N140" s="4">
        <v>4.29</v>
      </c>
    </row>
    <row r="141" spans="1:14" x14ac:dyDescent="0.2">
      <c r="A141" s="3">
        <v>45327</v>
      </c>
      <c r="B141" s="4">
        <v>5.49</v>
      </c>
      <c r="C141" s="4">
        <v>5.5</v>
      </c>
      <c r="D141" s="4">
        <v>5.42</v>
      </c>
      <c r="E141" s="4">
        <v>5.42</v>
      </c>
      <c r="F141" s="4">
        <v>5.25</v>
      </c>
      <c r="G141" s="4">
        <v>4.87</v>
      </c>
      <c r="H141" s="4">
        <v>4.46</v>
      </c>
      <c r="I141" s="4">
        <v>4.2699999999999996</v>
      </c>
      <c r="J141" s="4">
        <v>4.13</v>
      </c>
      <c r="K141" s="4">
        <v>4.16</v>
      </c>
      <c r="L141" s="4">
        <v>4.17</v>
      </c>
      <c r="M141" s="4">
        <v>4.46</v>
      </c>
      <c r="N141" s="4">
        <v>4.3499999999999996</v>
      </c>
    </row>
    <row r="142" spans="1:14" x14ac:dyDescent="0.2">
      <c r="A142" s="3">
        <v>45324</v>
      </c>
      <c r="B142" s="4">
        <v>5.49</v>
      </c>
      <c r="C142" s="4">
        <v>5.51</v>
      </c>
      <c r="D142" s="4">
        <v>5.43</v>
      </c>
      <c r="E142" s="4">
        <v>5.42</v>
      </c>
      <c r="F142" s="4">
        <v>5.22</v>
      </c>
      <c r="G142" s="4">
        <v>4.8099999999999996</v>
      </c>
      <c r="H142" s="4">
        <v>4.3600000000000003</v>
      </c>
      <c r="I142" s="4">
        <v>4.1399999999999997</v>
      </c>
      <c r="J142" s="4">
        <v>3.99</v>
      </c>
      <c r="K142" s="4">
        <v>4.0199999999999996</v>
      </c>
      <c r="L142" s="4">
        <v>4.03</v>
      </c>
      <c r="M142" s="4">
        <v>4.33</v>
      </c>
      <c r="N142" s="4">
        <v>4.22</v>
      </c>
    </row>
    <row r="143" spans="1:14" x14ac:dyDescent="0.2">
      <c r="A143" s="3">
        <v>45323</v>
      </c>
      <c r="B143" s="4">
        <v>5.49</v>
      </c>
      <c r="C143" s="4">
        <v>5.51</v>
      </c>
      <c r="D143" s="4">
        <v>5.42</v>
      </c>
      <c r="E143" s="4">
        <v>5.38</v>
      </c>
      <c r="F143" s="4">
        <v>5.15</v>
      </c>
      <c r="G143" s="4">
        <v>4.68</v>
      </c>
      <c r="H143" s="4">
        <v>4.2</v>
      </c>
      <c r="I143" s="4">
        <v>3.96</v>
      </c>
      <c r="J143" s="4">
        <v>3.8</v>
      </c>
      <c r="K143" s="4">
        <v>3.83</v>
      </c>
      <c r="L143" s="4">
        <v>3.87</v>
      </c>
      <c r="M143" s="4">
        <v>4.21</v>
      </c>
      <c r="N143" s="4">
        <v>4.0999999999999996</v>
      </c>
    </row>
    <row r="144" spans="1:14" x14ac:dyDescent="0.2">
      <c r="A144" s="3">
        <v>45322</v>
      </c>
      <c r="B144" s="4">
        <v>5.53</v>
      </c>
      <c r="C144" s="4">
        <v>5.46</v>
      </c>
      <c r="D144" s="4">
        <v>5.42</v>
      </c>
      <c r="E144" s="4">
        <v>5.4</v>
      </c>
      <c r="F144" s="4">
        <v>5.18</v>
      </c>
      <c r="G144" s="4">
        <v>4.7300000000000004</v>
      </c>
      <c r="H144" s="4">
        <v>4.2699999999999996</v>
      </c>
      <c r="I144" s="4">
        <v>4.05</v>
      </c>
      <c r="J144" s="4">
        <v>3.91</v>
      </c>
      <c r="K144" s="4">
        <v>3.95</v>
      </c>
      <c r="L144" s="4">
        <v>3.99</v>
      </c>
      <c r="M144" s="4">
        <v>4.34</v>
      </c>
      <c r="N144" s="4">
        <v>4.22</v>
      </c>
    </row>
    <row r="145" spans="1:14" x14ac:dyDescent="0.2">
      <c r="A145" s="3">
        <v>45321</v>
      </c>
      <c r="B145" s="4">
        <v>5.53</v>
      </c>
      <c r="C145" s="4">
        <v>5.47</v>
      </c>
      <c r="D145" s="4">
        <v>5.42</v>
      </c>
      <c r="E145" s="4">
        <v>5.38</v>
      </c>
      <c r="F145" s="4">
        <v>5.19</v>
      </c>
      <c r="G145" s="4">
        <v>4.8</v>
      </c>
      <c r="H145" s="4">
        <v>4.3600000000000003</v>
      </c>
      <c r="I145" s="4">
        <v>4.1399999999999997</v>
      </c>
      <c r="J145" s="4">
        <v>4</v>
      </c>
      <c r="K145" s="4">
        <v>4.03</v>
      </c>
      <c r="L145" s="4">
        <v>4.0599999999999996</v>
      </c>
      <c r="M145" s="4">
        <v>4.4000000000000004</v>
      </c>
      <c r="N145" s="4">
        <v>4.28</v>
      </c>
    </row>
    <row r="146" spans="1:14" x14ac:dyDescent="0.2">
      <c r="A146" s="3">
        <v>45320</v>
      </c>
      <c r="B146" s="4">
        <v>5.53</v>
      </c>
      <c r="C146" s="4">
        <v>5.46</v>
      </c>
      <c r="D146" s="4">
        <v>5.42</v>
      </c>
      <c r="E146" s="4">
        <v>5.37</v>
      </c>
      <c r="F146" s="4">
        <v>5.19</v>
      </c>
      <c r="G146" s="4">
        <v>4.76</v>
      </c>
      <c r="H146" s="4">
        <v>4.29</v>
      </c>
      <c r="I146" s="4">
        <v>4.0999999999999996</v>
      </c>
      <c r="J146" s="4">
        <v>3.97</v>
      </c>
      <c r="K146" s="4">
        <v>4.0199999999999996</v>
      </c>
      <c r="L146" s="4">
        <v>4.08</v>
      </c>
      <c r="M146" s="4">
        <v>4.42</v>
      </c>
      <c r="N146" s="4">
        <v>4.3099999999999996</v>
      </c>
    </row>
    <row r="147" spans="1:14" x14ac:dyDescent="0.2">
      <c r="A147" s="3">
        <v>45317</v>
      </c>
      <c r="B147" s="4">
        <v>5.54</v>
      </c>
      <c r="C147" s="4">
        <v>5.45</v>
      </c>
      <c r="D147" s="4">
        <v>5.44</v>
      </c>
      <c r="E147" s="4">
        <v>5.39</v>
      </c>
      <c r="F147" s="4">
        <v>5.19</v>
      </c>
      <c r="G147" s="4">
        <v>4.78</v>
      </c>
      <c r="H147" s="4">
        <v>4.34</v>
      </c>
      <c r="I147" s="4">
        <v>4.1500000000000004</v>
      </c>
      <c r="J147" s="4">
        <v>4.04</v>
      </c>
      <c r="K147" s="4">
        <v>4.0999999999999996</v>
      </c>
      <c r="L147" s="4">
        <v>4.1500000000000004</v>
      </c>
      <c r="M147" s="4">
        <v>4.49</v>
      </c>
      <c r="N147" s="4">
        <v>4.38</v>
      </c>
    </row>
    <row r="148" spans="1:14" x14ac:dyDescent="0.2">
      <c r="A148" s="3">
        <v>45316</v>
      </c>
      <c r="B148" s="4">
        <v>5.54</v>
      </c>
      <c r="C148" s="4">
        <v>5.48</v>
      </c>
      <c r="D148" s="4">
        <v>5.44</v>
      </c>
      <c r="E148" s="4">
        <v>5.39</v>
      </c>
      <c r="F148" s="4">
        <v>5.19</v>
      </c>
      <c r="G148" s="4">
        <v>4.76</v>
      </c>
      <c r="H148" s="4">
        <v>4.28</v>
      </c>
      <c r="I148" s="4">
        <v>4.12</v>
      </c>
      <c r="J148" s="4">
        <v>4.01</v>
      </c>
      <c r="K148" s="4">
        <v>4.07</v>
      </c>
      <c r="L148" s="4">
        <v>4.1399999999999997</v>
      </c>
      <c r="M148" s="4">
        <v>4.49</v>
      </c>
      <c r="N148" s="4">
        <v>4.38</v>
      </c>
    </row>
    <row r="149" spans="1:14" x14ac:dyDescent="0.2">
      <c r="A149" s="3">
        <v>45315</v>
      </c>
      <c r="B149" s="4">
        <v>5.52</v>
      </c>
      <c r="C149" s="4">
        <v>5.44</v>
      </c>
      <c r="D149" s="4">
        <v>5.44</v>
      </c>
      <c r="E149" s="4">
        <v>5.4</v>
      </c>
      <c r="F149" s="4">
        <v>5.22</v>
      </c>
      <c r="G149" s="4">
        <v>4.83</v>
      </c>
      <c r="H149" s="4">
        <v>4.34</v>
      </c>
      <c r="I149" s="4">
        <v>4.1900000000000004</v>
      </c>
      <c r="J149" s="4">
        <v>4.0599999999999996</v>
      </c>
      <c r="K149" s="4">
        <v>4.1399999999999997</v>
      </c>
      <c r="L149" s="4">
        <v>4.18</v>
      </c>
      <c r="M149" s="4">
        <v>4.5199999999999996</v>
      </c>
      <c r="N149" s="4">
        <v>4.41</v>
      </c>
    </row>
    <row r="150" spans="1:14" x14ac:dyDescent="0.2">
      <c r="A150" s="3">
        <v>45314</v>
      </c>
      <c r="B150" s="4">
        <v>5.53</v>
      </c>
      <c r="C150" s="4">
        <v>5.46</v>
      </c>
      <c r="D150" s="4">
        <v>5.45</v>
      </c>
      <c r="E150" s="4">
        <v>5.38</v>
      </c>
      <c r="F150" s="4">
        <v>5.21</v>
      </c>
      <c r="G150" s="4">
        <v>4.8099999999999996</v>
      </c>
      <c r="H150" s="4">
        <v>4.3099999999999996</v>
      </c>
      <c r="I150" s="4">
        <v>4.16</v>
      </c>
      <c r="J150" s="4">
        <v>4.0599999999999996</v>
      </c>
      <c r="K150" s="4">
        <v>4.1100000000000003</v>
      </c>
      <c r="L150" s="4">
        <v>4.1399999999999997</v>
      </c>
      <c r="M150" s="4">
        <v>4.4800000000000004</v>
      </c>
      <c r="N150" s="4">
        <v>4.38</v>
      </c>
    </row>
    <row r="151" spans="1:14" x14ac:dyDescent="0.2">
      <c r="A151" s="3">
        <v>45313</v>
      </c>
      <c r="B151" s="4">
        <v>5.53</v>
      </c>
      <c r="C151" s="4">
        <v>5.47</v>
      </c>
      <c r="D151" s="4">
        <v>5.46</v>
      </c>
      <c r="E151" s="4">
        <v>5.39</v>
      </c>
      <c r="F151" s="4">
        <v>5.22</v>
      </c>
      <c r="G151" s="4">
        <v>4.83</v>
      </c>
      <c r="H151" s="4">
        <v>4.37</v>
      </c>
      <c r="I151" s="4">
        <v>4.1399999999999997</v>
      </c>
      <c r="J151" s="4">
        <v>4.03</v>
      </c>
      <c r="K151" s="4">
        <v>4.07</v>
      </c>
      <c r="L151" s="4">
        <v>4.1100000000000003</v>
      </c>
      <c r="M151" s="4">
        <v>4.4400000000000004</v>
      </c>
      <c r="N151" s="4">
        <v>4.32</v>
      </c>
    </row>
    <row r="152" spans="1:14" x14ac:dyDescent="0.2">
      <c r="A152" s="3">
        <v>45310</v>
      </c>
      <c r="B152" s="4">
        <v>5.54</v>
      </c>
      <c r="C152" s="4">
        <v>5.47</v>
      </c>
      <c r="D152" s="4">
        <v>5.45</v>
      </c>
      <c r="E152" s="4">
        <v>5.39</v>
      </c>
      <c r="F152" s="4">
        <v>5.21</v>
      </c>
      <c r="G152" s="4">
        <v>4.84</v>
      </c>
      <c r="H152" s="4">
        <v>4.3899999999999997</v>
      </c>
      <c r="I152" s="4">
        <v>4.18</v>
      </c>
      <c r="J152" s="4">
        <v>4.08</v>
      </c>
      <c r="K152" s="4">
        <v>4.12</v>
      </c>
      <c r="L152" s="4">
        <v>4.1500000000000004</v>
      </c>
      <c r="M152" s="4">
        <v>4.47</v>
      </c>
      <c r="N152" s="4">
        <v>4.3600000000000003</v>
      </c>
    </row>
    <row r="153" spans="1:14" x14ac:dyDescent="0.2">
      <c r="A153" s="3">
        <v>45309</v>
      </c>
      <c r="B153" s="4">
        <v>5.53</v>
      </c>
      <c r="C153" s="4">
        <v>5.48</v>
      </c>
      <c r="D153" s="4">
        <v>5.45</v>
      </c>
      <c r="E153" s="4">
        <v>5.39</v>
      </c>
      <c r="F153" s="4">
        <v>5.2</v>
      </c>
      <c r="G153" s="4">
        <v>4.8</v>
      </c>
      <c r="H153" s="4">
        <v>4.34</v>
      </c>
      <c r="I153" s="4">
        <v>4.13</v>
      </c>
      <c r="J153" s="4">
        <v>4.04</v>
      </c>
      <c r="K153" s="4">
        <v>4.0999999999999996</v>
      </c>
      <c r="L153" s="4">
        <v>4.1399999999999997</v>
      </c>
      <c r="M153" s="4">
        <v>4.4800000000000004</v>
      </c>
      <c r="N153" s="4">
        <v>4.37</v>
      </c>
    </row>
    <row r="154" spans="1:14" x14ac:dyDescent="0.2">
      <c r="A154" s="3">
        <v>45308</v>
      </c>
      <c r="B154" s="4">
        <v>5.54</v>
      </c>
      <c r="C154" s="4">
        <v>5.47</v>
      </c>
      <c r="D154" s="4">
        <v>5.47</v>
      </c>
      <c r="E154" s="4">
        <v>5.4</v>
      </c>
      <c r="F154" s="4">
        <v>5.2</v>
      </c>
      <c r="G154" s="4">
        <v>4.8</v>
      </c>
      <c r="H154" s="4">
        <v>4.34</v>
      </c>
      <c r="I154" s="4">
        <v>4.12</v>
      </c>
      <c r="J154" s="4">
        <v>4.0199999999999996</v>
      </c>
      <c r="K154" s="4">
        <v>4.07</v>
      </c>
      <c r="L154" s="4">
        <v>4.0999999999999996</v>
      </c>
      <c r="M154" s="4">
        <v>4.42</v>
      </c>
      <c r="N154" s="4">
        <v>4.3099999999999996</v>
      </c>
    </row>
    <row r="155" spans="1:14" x14ac:dyDescent="0.2">
      <c r="A155" s="3">
        <v>45307</v>
      </c>
      <c r="B155" s="4">
        <v>5.54</v>
      </c>
      <c r="C155" s="4">
        <v>5.47</v>
      </c>
      <c r="D155" s="4">
        <v>5.45</v>
      </c>
      <c r="E155" s="4">
        <v>5.37</v>
      </c>
      <c r="F155" s="4">
        <v>5.18</v>
      </c>
      <c r="G155" s="4">
        <v>4.7</v>
      </c>
      <c r="H155" s="4">
        <v>4.22</v>
      </c>
      <c r="I155" s="4">
        <v>4.0199999999999996</v>
      </c>
      <c r="J155" s="4">
        <v>3.95</v>
      </c>
      <c r="K155" s="4">
        <v>4.01</v>
      </c>
      <c r="L155" s="4">
        <v>4.07</v>
      </c>
      <c r="M155" s="4">
        <v>4.43</v>
      </c>
      <c r="N155" s="4">
        <v>4.3</v>
      </c>
    </row>
    <row r="156" spans="1:14" x14ac:dyDescent="0.2">
      <c r="A156" s="3">
        <v>45303</v>
      </c>
      <c r="B156" s="4">
        <v>5.55</v>
      </c>
      <c r="C156" s="4">
        <v>5.47</v>
      </c>
      <c r="D156" s="4">
        <v>5.45</v>
      </c>
      <c r="E156" s="4">
        <v>5.37</v>
      </c>
      <c r="F156" s="4">
        <v>5.16</v>
      </c>
      <c r="G156" s="4">
        <v>4.6500000000000004</v>
      </c>
      <c r="H156" s="4">
        <v>4.1399999999999997</v>
      </c>
      <c r="I156" s="4">
        <v>3.92</v>
      </c>
      <c r="J156" s="4">
        <v>3.84</v>
      </c>
      <c r="K156" s="4">
        <v>3.91</v>
      </c>
      <c r="L156" s="4">
        <v>3.96</v>
      </c>
      <c r="M156" s="4">
        <v>4.32</v>
      </c>
      <c r="N156" s="4">
        <v>4.2</v>
      </c>
    </row>
    <row r="157" spans="1:14" x14ac:dyDescent="0.2">
      <c r="A157" s="3">
        <v>45302</v>
      </c>
      <c r="B157" s="4">
        <v>5.54</v>
      </c>
      <c r="C157" s="4">
        <v>5.47</v>
      </c>
      <c r="D157" s="4">
        <v>5.46</v>
      </c>
      <c r="E157" s="4">
        <v>5.38</v>
      </c>
      <c r="F157" s="4">
        <v>5.22</v>
      </c>
      <c r="G157" s="4">
        <v>4.75</v>
      </c>
      <c r="H157" s="4">
        <v>4.26</v>
      </c>
      <c r="I157" s="4">
        <v>4.0199999999999996</v>
      </c>
      <c r="J157" s="4">
        <v>3.9</v>
      </c>
      <c r="K157" s="4">
        <v>3.95</v>
      </c>
      <c r="L157" s="4">
        <v>3.98</v>
      </c>
      <c r="M157" s="4">
        <v>4.32</v>
      </c>
      <c r="N157" s="4">
        <v>4.18</v>
      </c>
    </row>
    <row r="158" spans="1:14" x14ac:dyDescent="0.2">
      <c r="A158" s="3">
        <v>45301</v>
      </c>
      <c r="B158" s="4">
        <v>5.53</v>
      </c>
      <c r="C158" s="4">
        <v>5.46</v>
      </c>
      <c r="D158" s="4">
        <v>5.46</v>
      </c>
      <c r="E158" s="4">
        <v>5.39</v>
      </c>
      <c r="F158" s="4">
        <v>5.23</v>
      </c>
      <c r="G158" s="4">
        <v>4.82</v>
      </c>
      <c r="H158" s="4">
        <v>4.37</v>
      </c>
      <c r="I158" s="4">
        <v>4.0999999999999996</v>
      </c>
      <c r="J158" s="4">
        <v>3.99</v>
      </c>
      <c r="K158" s="4">
        <v>4.01</v>
      </c>
      <c r="L158" s="4">
        <v>4.04</v>
      </c>
      <c r="M158" s="4">
        <v>4.3499999999999996</v>
      </c>
      <c r="N158" s="4">
        <v>4.2</v>
      </c>
    </row>
    <row r="159" spans="1:14" x14ac:dyDescent="0.2">
      <c r="A159" s="3">
        <v>45300</v>
      </c>
      <c r="B159" s="4">
        <v>5.53</v>
      </c>
      <c r="C159" s="4">
        <v>5.46</v>
      </c>
      <c r="D159" s="4">
        <v>5.47</v>
      </c>
      <c r="E159" s="4">
        <v>5.38</v>
      </c>
      <c r="F159" s="4">
        <v>5.24</v>
      </c>
      <c r="G159" s="4">
        <v>4.82</v>
      </c>
      <c r="H159" s="4">
        <v>4.3600000000000003</v>
      </c>
      <c r="I159" s="4">
        <v>4.09</v>
      </c>
      <c r="J159" s="4">
        <v>3.97</v>
      </c>
      <c r="K159" s="4">
        <v>4</v>
      </c>
      <c r="L159" s="4">
        <v>4.0199999999999996</v>
      </c>
      <c r="M159" s="4">
        <v>4.33</v>
      </c>
      <c r="N159" s="4">
        <v>4.18</v>
      </c>
    </row>
    <row r="160" spans="1:14" x14ac:dyDescent="0.2">
      <c r="A160" s="3">
        <v>45299</v>
      </c>
      <c r="B160" s="4">
        <v>5.54</v>
      </c>
      <c r="C160" s="4">
        <v>5.48</v>
      </c>
      <c r="D160" s="4">
        <v>5.49</v>
      </c>
      <c r="E160" s="4">
        <v>5.39</v>
      </c>
      <c r="F160" s="4">
        <v>5.24</v>
      </c>
      <c r="G160" s="4">
        <v>4.82</v>
      </c>
      <c r="H160" s="4">
        <v>4.3600000000000003</v>
      </c>
      <c r="I160" s="4">
        <v>4.1100000000000003</v>
      </c>
      <c r="J160" s="4">
        <v>3.97</v>
      </c>
      <c r="K160" s="4">
        <v>3.99</v>
      </c>
      <c r="L160" s="4">
        <v>4.01</v>
      </c>
      <c r="M160" s="4">
        <v>4.33</v>
      </c>
      <c r="N160" s="4">
        <v>4.17</v>
      </c>
    </row>
    <row r="161" spans="1:14" x14ac:dyDescent="0.2">
      <c r="A161" s="3">
        <v>45296</v>
      </c>
      <c r="B161" s="4">
        <v>5.54</v>
      </c>
      <c r="C161" s="4">
        <v>5.48</v>
      </c>
      <c r="D161" s="4">
        <v>5.47</v>
      </c>
      <c r="E161" s="4">
        <v>5.41</v>
      </c>
      <c r="F161" s="4">
        <v>5.24</v>
      </c>
      <c r="G161" s="4">
        <v>4.84</v>
      </c>
      <c r="H161" s="4">
        <v>4.4000000000000004</v>
      </c>
      <c r="I161" s="4">
        <v>4.17</v>
      </c>
      <c r="J161" s="4">
        <v>4.0199999999999996</v>
      </c>
      <c r="K161" s="4">
        <v>4.04</v>
      </c>
      <c r="L161" s="4">
        <v>4.05</v>
      </c>
      <c r="M161" s="4">
        <v>4.37</v>
      </c>
      <c r="N161" s="4">
        <v>4.21</v>
      </c>
    </row>
    <row r="162" spans="1:14" x14ac:dyDescent="0.2">
      <c r="A162" s="3">
        <v>45295</v>
      </c>
      <c r="B162" s="4">
        <v>5.56</v>
      </c>
      <c r="C162" s="4">
        <v>5.48</v>
      </c>
      <c r="D162" s="4">
        <v>5.48</v>
      </c>
      <c r="E162" s="4">
        <v>5.41</v>
      </c>
      <c r="F162" s="4">
        <v>5.25</v>
      </c>
      <c r="G162" s="4">
        <v>4.8499999999999996</v>
      </c>
      <c r="H162" s="4">
        <v>4.38</v>
      </c>
      <c r="I162" s="4">
        <v>4.1399999999999997</v>
      </c>
      <c r="J162" s="4">
        <v>3.97</v>
      </c>
      <c r="K162" s="4">
        <v>3.99</v>
      </c>
      <c r="L162" s="4">
        <v>3.99</v>
      </c>
      <c r="M162" s="4">
        <v>4.3</v>
      </c>
      <c r="N162" s="4">
        <v>4.13</v>
      </c>
    </row>
    <row r="163" spans="1:14" x14ac:dyDescent="0.2">
      <c r="A163" s="3">
        <v>45294</v>
      </c>
      <c r="B163" s="4">
        <v>5.54</v>
      </c>
      <c r="C163" s="4">
        <v>5.54</v>
      </c>
      <c r="D163" s="4">
        <v>5.48</v>
      </c>
      <c r="E163" s="4">
        <v>5.41</v>
      </c>
      <c r="F163" s="4">
        <v>5.25</v>
      </c>
      <c r="G163" s="4">
        <v>4.8099999999999996</v>
      </c>
      <c r="H163" s="4">
        <v>4.33</v>
      </c>
      <c r="I163" s="4">
        <v>4.07</v>
      </c>
      <c r="J163" s="4">
        <v>3.9</v>
      </c>
      <c r="K163" s="4">
        <v>3.92</v>
      </c>
      <c r="L163" s="4">
        <v>3.91</v>
      </c>
      <c r="M163" s="4">
        <v>4.21</v>
      </c>
      <c r="N163" s="4">
        <v>4.05</v>
      </c>
    </row>
    <row r="164" spans="1:14" x14ac:dyDescent="0.2">
      <c r="A164" s="3">
        <v>45293</v>
      </c>
      <c r="B164" s="4">
        <v>5.55</v>
      </c>
      <c r="C164" s="4">
        <v>5.54</v>
      </c>
      <c r="D164" s="4">
        <v>5.46</v>
      </c>
      <c r="E164" s="4">
        <v>5.41</v>
      </c>
      <c r="F164" s="4">
        <v>5.24</v>
      </c>
      <c r="G164" s="4">
        <v>4.8</v>
      </c>
      <c r="H164" s="4">
        <v>4.33</v>
      </c>
      <c r="I164" s="4">
        <v>4.09</v>
      </c>
      <c r="J164" s="4">
        <v>3.93</v>
      </c>
      <c r="K164" s="4">
        <v>3.95</v>
      </c>
      <c r="L164" s="4">
        <v>3.95</v>
      </c>
      <c r="M164" s="4">
        <v>4.25</v>
      </c>
      <c r="N164" s="4">
        <v>4.08</v>
      </c>
    </row>
  </sheetData>
  <hyperlinks>
    <hyperlink ref="Q1" r:id="rId1" xr:uid="{FA79A20C-5048-7448-B189-74F3AF699E5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AC77-AA48-DD40-8EB5-AA91AC66C8C4}">
  <dimension ref="A1:Q251"/>
  <sheetViews>
    <sheetView zoomScale="161" workbookViewId="0"/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2" t="s">
        <v>16</v>
      </c>
    </row>
    <row r="2" spans="1:17" x14ac:dyDescent="0.2">
      <c r="A2" s="3">
        <v>45289</v>
      </c>
      <c r="B2" s="4">
        <v>5.6</v>
      </c>
      <c r="C2" s="4">
        <v>5.59</v>
      </c>
      <c r="D2" s="4">
        <v>5.4</v>
      </c>
      <c r="E2" s="4">
        <v>5.41</v>
      </c>
      <c r="F2" s="4">
        <v>5.26</v>
      </c>
      <c r="G2" s="4">
        <v>4.79</v>
      </c>
      <c r="H2" s="4">
        <v>4.2300000000000004</v>
      </c>
      <c r="I2" s="4">
        <v>4.01</v>
      </c>
      <c r="J2" s="4">
        <v>3.84</v>
      </c>
      <c r="K2" s="4">
        <v>3.88</v>
      </c>
      <c r="L2" s="4">
        <v>3.88</v>
      </c>
      <c r="M2" s="4">
        <v>4.2</v>
      </c>
      <c r="N2" s="4">
        <v>4.03</v>
      </c>
    </row>
    <row r="3" spans="1:17" x14ac:dyDescent="0.2">
      <c r="A3" s="3">
        <v>45288</v>
      </c>
      <c r="B3" s="4">
        <v>5.57</v>
      </c>
      <c r="C3" s="4">
        <v>5.55</v>
      </c>
      <c r="D3" s="4">
        <v>5.45</v>
      </c>
      <c r="E3" s="4">
        <v>5.42</v>
      </c>
      <c r="F3" s="4">
        <v>5.28</v>
      </c>
      <c r="G3" s="4">
        <v>4.82</v>
      </c>
      <c r="H3" s="4">
        <v>4.26</v>
      </c>
      <c r="I3" s="4">
        <v>4.0199999999999996</v>
      </c>
      <c r="J3" s="4">
        <v>3.83</v>
      </c>
      <c r="K3" s="4">
        <v>3.84</v>
      </c>
      <c r="L3" s="4">
        <v>3.84</v>
      </c>
      <c r="M3" s="4">
        <v>4.1399999999999997</v>
      </c>
      <c r="N3" s="4">
        <v>3.98</v>
      </c>
    </row>
    <row r="4" spans="1:17" x14ac:dyDescent="0.2">
      <c r="A4" s="3">
        <v>45287</v>
      </c>
      <c r="B4" s="4">
        <v>5.55</v>
      </c>
      <c r="C4" s="4">
        <v>5.53</v>
      </c>
      <c r="D4" s="4">
        <v>5.44</v>
      </c>
      <c r="E4" s="4">
        <v>5.42</v>
      </c>
      <c r="F4" s="4">
        <v>5.26</v>
      </c>
      <c r="G4" s="4">
        <v>4.79</v>
      </c>
      <c r="H4" s="4">
        <v>4.2</v>
      </c>
      <c r="I4" s="4">
        <v>3.97</v>
      </c>
      <c r="J4" s="4">
        <v>3.78</v>
      </c>
      <c r="K4" s="4">
        <v>3.81</v>
      </c>
      <c r="L4" s="4">
        <v>3.79</v>
      </c>
      <c r="M4" s="4">
        <v>4.0999999999999996</v>
      </c>
      <c r="N4" s="4">
        <v>3.95</v>
      </c>
    </row>
    <row r="5" spans="1:17" x14ac:dyDescent="0.2">
      <c r="A5" s="3">
        <v>45286</v>
      </c>
      <c r="B5" s="4">
        <v>5.53</v>
      </c>
      <c r="C5" s="4">
        <v>5.52</v>
      </c>
      <c r="D5" s="4">
        <v>5.45</v>
      </c>
      <c r="E5" s="4">
        <v>5.44</v>
      </c>
      <c r="F5" s="4">
        <v>5.28</v>
      </c>
      <c r="G5" s="4">
        <v>4.83</v>
      </c>
      <c r="H5" s="4">
        <v>4.26</v>
      </c>
      <c r="I5" s="4">
        <v>4.05</v>
      </c>
      <c r="J5" s="4">
        <v>3.89</v>
      </c>
      <c r="K5" s="4">
        <v>3.91</v>
      </c>
      <c r="L5" s="4">
        <v>3.89</v>
      </c>
      <c r="M5" s="4">
        <v>4.2</v>
      </c>
      <c r="N5" s="4">
        <v>4.04</v>
      </c>
    </row>
    <row r="6" spans="1:17" x14ac:dyDescent="0.2">
      <c r="A6" s="3">
        <v>45282</v>
      </c>
      <c r="B6" s="4">
        <v>5.54</v>
      </c>
      <c r="C6" s="4">
        <v>5.52</v>
      </c>
      <c r="D6" s="4">
        <v>5.44</v>
      </c>
      <c r="E6" s="4">
        <v>5.45</v>
      </c>
      <c r="F6" s="4">
        <v>5.31</v>
      </c>
      <c r="G6" s="4">
        <v>4.82</v>
      </c>
      <c r="H6" s="4">
        <v>4.3099999999999996</v>
      </c>
      <c r="I6" s="4">
        <v>4.04</v>
      </c>
      <c r="J6" s="4">
        <v>3.87</v>
      </c>
      <c r="K6" s="4">
        <v>3.92</v>
      </c>
      <c r="L6" s="4">
        <v>3.9</v>
      </c>
      <c r="M6" s="4">
        <v>4.21</v>
      </c>
      <c r="N6" s="4">
        <v>4.05</v>
      </c>
    </row>
    <row r="7" spans="1:17" x14ac:dyDescent="0.2">
      <c r="A7" s="3">
        <v>45281</v>
      </c>
      <c r="B7" s="4">
        <v>5.54</v>
      </c>
      <c r="C7" s="4">
        <v>5.53</v>
      </c>
      <c r="D7" s="4">
        <v>5.42</v>
      </c>
      <c r="E7" s="4">
        <v>5.45</v>
      </c>
      <c r="F7" s="4">
        <v>5.31</v>
      </c>
      <c r="G7" s="4">
        <v>4.84</v>
      </c>
      <c r="H7" s="4">
        <v>4.33</v>
      </c>
      <c r="I7" s="4">
        <v>4.0599999999999996</v>
      </c>
      <c r="J7" s="4">
        <v>3.87</v>
      </c>
      <c r="K7" s="4">
        <v>3.91</v>
      </c>
      <c r="L7" s="4">
        <v>3.89</v>
      </c>
      <c r="M7" s="4">
        <v>4.1900000000000004</v>
      </c>
      <c r="N7" s="4">
        <v>4.03</v>
      </c>
    </row>
    <row r="8" spans="1:17" x14ac:dyDescent="0.2">
      <c r="A8" s="3">
        <v>45280</v>
      </c>
      <c r="B8" s="4">
        <v>5.5</v>
      </c>
      <c r="C8" s="4">
        <v>5.49</v>
      </c>
      <c r="D8" s="4">
        <v>5.44</v>
      </c>
      <c r="E8" s="4">
        <v>5.45</v>
      </c>
      <c r="F8" s="4">
        <v>5.33</v>
      </c>
      <c r="G8" s="4">
        <v>4.88</v>
      </c>
      <c r="H8" s="4">
        <v>4.34</v>
      </c>
      <c r="I8" s="4">
        <v>4.0599999999999996</v>
      </c>
      <c r="J8" s="4">
        <v>3.86</v>
      </c>
      <c r="K8" s="4">
        <v>3.88</v>
      </c>
      <c r="L8" s="4">
        <v>3.86</v>
      </c>
      <c r="M8" s="4">
        <v>4.17</v>
      </c>
      <c r="N8" s="4">
        <v>3.98</v>
      </c>
    </row>
    <row r="9" spans="1:17" x14ac:dyDescent="0.2">
      <c r="A9" s="3">
        <v>45279</v>
      </c>
      <c r="B9" s="4">
        <v>5.51</v>
      </c>
      <c r="C9" s="4">
        <v>5.51</v>
      </c>
      <c r="D9" s="4">
        <v>5.43</v>
      </c>
      <c r="E9" s="4">
        <v>5.45</v>
      </c>
      <c r="F9" s="4">
        <v>5.35</v>
      </c>
      <c r="G9" s="4">
        <v>4.93</v>
      </c>
      <c r="H9" s="4">
        <v>4.41</v>
      </c>
      <c r="I9" s="4">
        <v>4.1500000000000004</v>
      </c>
      <c r="J9" s="4">
        <v>3.94</v>
      </c>
      <c r="K9" s="4">
        <v>3.96</v>
      </c>
      <c r="L9" s="4">
        <v>3.93</v>
      </c>
      <c r="M9" s="4">
        <v>4.2300000000000004</v>
      </c>
      <c r="N9" s="4">
        <v>4.03</v>
      </c>
    </row>
    <row r="10" spans="1:17" x14ac:dyDescent="0.2">
      <c r="A10" s="3">
        <v>45278</v>
      </c>
      <c r="B10" s="4">
        <v>5.52</v>
      </c>
      <c r="C10" s="4">
        <v>5.52</v>
      </c>
      <c r="D10" s="4">
        <v>5.46</v>
      </c>
      <c r="E10" s="4">
        <v>5.47</v>
      </c>
      <c r="F10" s="4">
        <v>5.36</v>
      </c>
      <c r="G10" s="4">
        <v>4.95</v>
      </c>
      <c r="H10" s="4">
        <v>4.43</v>
      </c>
      <c r="I10" s="4">
        <v>4.1500000000000004</v>
      </c>
      <c r="J10" s="4">
        <v>3.94</v>
      </c>
      <c r="K10" s="4">
        <v>3.97</v>
      </c>
      <c r="L10" s="4">
        <v>3.95</v>
      </c>
      <c r="M10" s="4">
        <v>4.2300000000000004</v>
      </c>
      <c r="N10" s="4">
        <v>4.05</v>
      </c>
    </row>
    <row r="11" spans="1:17" x14ac:dyDescent="0.2">
      <c r="A11" s="3">
        <v>45275</v>
      </c>
      <c r="B11" s="4">
        <v>5.54</v>
      </c>
      <c r="C11" s="4">
        <v>5.54</v>
      </c>
      <c r="D11" s="4">
        <v>5.44</v>
      </c>
      <c r="E11" s="4">
        <v>5.47</v>
      </c>
      <c r="F11" s="4">
        <v>5.33</v>
      </c>
      <c r="G11" s="4">
        <v>4.95</v>
      </c>
      <c r="H11" s="4">
        <v>4.4400000000000004</v>
      </c>
      <c r="I11" s="4">
        <v>4.13</v>
      </c>
      <c r="J11" s="4">
        <v>3.91</v>
      </c>
      <c r="K11" s="4">
        <v>3.94</v>
      </c>
      <c r="L11" s="4">
        <v>3.91</v>
      </c>
      <c r="M11" s="4">
        <v>4.1900000000000004</v>
      </c>
      <c r="N11" s="4">
        <v>4</v>
      </c>
    </row>
    <row r="12" spans="1:17" x14ac:dyDescent="0.2">
      <c r="A12" s="3">
        <v>45274</v>
      </c>
      <c r="B12" s="4">
        <v>5.54</v>
      </c>
      <c r="C12" s="4">
        <v>5.54</v>
      </c>
      <c r="D12" s="4">
        <v>5.43</v>
      </c>
      <c r="E12" s="4">
        <v>5.45</v>
      </c>
      <c r="F12" s="4">
        <v>5.31</v>
      </c>
      <c r="G12" s="4">
        <v>4.9000000000000004</v>
      </c>
      <c r="H12" s="4">
        <v>4.37</v>
      </c>
      <c r="I12" s="4">
        <v>4.09</v>
      </c>
      <c r="J12" s="4">
        <v>3.9</v>
      </c>
      <c r="K12" s="4">
        <v>3.93</v>
      </c>
      <c r="L12" s="4">
        <v>3.92</v>
      </c>
      <c r="M12" s="4">
        <v>4.21</v>
      </c>
      <c r="N12" s="4">
        <v>4.03</v>
      </c>
    </row>
    <row r="13" spans="1:17" x14ac:dyDescent="0.2">
      <c r="A13" s="3">
        <v>45273</v>
      </c>
      <c r="B13" s="4">
        <v>5.52</v>
      </c>
      <c r="C13" s="4">
        <v>5.52</v>
      </c>
      <c r="D13" s="4">
        <v>5.44</v>
      </c>
      <c r="E13" s="4">
        <v>5.45</v>
      </c>
      <c r="F13" s="4">
        <v>5.33</v>
      </c>
      <c r="G13" s="4">
        <v>4.9400000000000004</v>
      </c>
      <c r="H13" s="4">
        <v>4.46</v>
      </c>
      <c r="I13" s="4">
        <v>4.18</v>
      </c>
      <c r="J13" s="4">
        <v>4</v>
      </c>
      <c r="K13" s="4">
        <v>4.04</v>
      </c>
      <c r="L13" s="4">
        <v>4.04</v>
      </c>
      <c r="M13" s="4">
        <v>4.3600000000000003</v>
      </c>
      <c r="N13" s="4">
        <v>4.1900000000000004</v>
      </c>
    </row>
    <row r="14" spans="1:17" x14ac:dyDescent="0.2">
      <c r="A14" s="3">
        <v>45272</v>
      </c>
      <c r="B14" s="4">
        <v>5.53</v>
      </c>
      <c r="C14" s="4">
        <v>5.53</v>
      </c>
      <c r="D14" s="4">
        <v>5.46</v>
      </c>
      <c r="E14" s="4">
        <v>5.48</v>
      </c>
      <c r="F14" s="4">
        <v>5.41</v>
      </c>
      <c r="G14" s="4">
        <v>5.14</v>
      </c>
      <c r="H14" s="4">
        <v>4.7300000000000004</v>
      </c>
      <c r="I14" s="4">
        <v>4.42</v>
      </c>
      <c r="J14" s="4">
        <v>4.2300000000000004</v>
      </c>
      <c r="K14" s="4">
        <v>4.24</v>
      </c>
      <c r="L14" s="4">
        <v>4.2</v>
      </c>
      <c r="M14" s="4">
        <v>4.4800000000000004</v>
      </c>
      <c r="N14" s="4">
        <v>4.3</v>
      </c>
    </row>
    <row r="15" spans="1:17" x14ac:dyDescent="0.2">
      <c r="A15" s="3">
        <v>45271</v>
      </c>
      <c r="B15" s="4">
        <v>5.55</v>
      </c>
      <c r="C15" s="4">
        <v>5.54</v>
      </c>
      <c r="D15" s="4">
        <v>5.47</v>
      </c>
      <c r="E15" s="4">
        <v>5.48</v>
      </c>
      <c r="F15" s="4">
        <v>5.4</v>
      </c>
      <c r="G15" s="4">
        <v>5.14</v>
      </c>
      <c r="H15" s="4">
        <v>4.71</v>
      </c>
      <c r="I15" s="4">
        <v>4.42</v>
      </c>
      <c r="J15" s="4">
        <v>4.25</v>
      </c>
      <c r="K15" s="4">
        <v>4.2699999999999996</v>
      </c>
      <c r="L15" s="4">
        <v>4.2300000000000004</v>
      </c>
      <c r="M15" s="4">
        <v>4.51</v>
      </c>
      <c r="N15" s="4">
        <v>4.32</v>
      </c>
    </row>
    <row r="16" spans="1:17" x14ac:dyDescent="0.2">
      <c r="A16" s="3">
        <v>45268</v>
      </c>
      <c r="B16" s="4">
        <v>5.54</v>
      </c>
      <c r="C16" s="4">
        <v>5.53</v>
      </c>
      <c r="D16" s="4">
        <v>5.44</v>
      </c>
      <c r="E16" s="4">
        <v>5.49</v>
      </c>
      <c r="F16" s="4">
        <v>5.39</v>
      </c>
      <c r="G16" s="4">
        <v>5.13</v>
      </c>
      <c r="H16" s="4">
        <v>4.71</v>
      </c>
      <c r="I16" s="4">
        <v>4.45</v>
      </c>
      <c r="J16" s="4">
        <v>4.24</v>
      </c>
      <c r="K16" s="4">
        <v>4.28</v>
      </c>
      <c r="L16" s="4">
        <v>4.2300000000000004</v>
      </c>
      <c r="M16" s="4">
        <v>4.49</v>
      </c>
      <c r="N16" s="4">
        <v>4.3099999999999996</v>
      </c>
    </row>
    <row r="17" spans="1:14" x14ac:dyDescent="0.2">
      <c r="A17" s="3">
        <v>45267</v>
      </c>
      <c r="B17" s="4">
        <v>5.53</v>
      </c>
      <c r="C17" s="4">
        <v>5.54</v>
      </c>
      <c r="D17" s="4">
        <v>5.44</v>
      </c>
      <c r="E17" s="4">
        <v>5.47</v>
      </c>
      <c r="F17" s="4">
        <v>5.36</v>
      </c>
      <c r="G17" s="4">
        <v>5.05</v>
      </c>
      <c r="H17" s="4">
        <v>4.58</v>
      </c>
      <c r="I17" s="4">
        <v>4.3099999999999996</v>
      </c>
      <c r="J17" s="4">
        <v>4.1100000000000003</v>
      </c>
      <c r="K17" s="4">
        <v>4.16</v>
      </c>
      <c r="L17" s="4">
        <v>4.1399999999999997</v>
      </c>
      <c r="M17" s="4">
        <v>4.42</v>
      </c>
      <c r="N17" s="4">
        <v>4.25</v>
      </c>
    </row>
    <row r="18" spans="1:14" x14ac:dyDescent="0.2">
      <c r="A18" s="3">
        <v>45266</v>
      </c>
      <c r="B18" s="4">
        <v>5.54</v>
      </c>
      <c r="C18" s="4">
        <v>5.5</v>
      </c>
      <c r="D18" s="4">
        <v>5.45</v>
      </c>
      <c r="E18" s="4">
        <v>5.47</v>
      </c>
      <c r="F18" s="4">
        <v>5.38</v>
      </c>
      <c r="G18" s="4">
        <v>5.07</v>
      </c>
      <c r="H18" s="4">
        <v>4.5999999999999996</v>
      </c>
      <c r="I18" s="4">
        <v>4.33</v>
      </c>
      <c r="J18" s="4">
        <v>4.12</v>
      </c>
      <c r="K18" s="4">
        <v>4.16</v>
      </c>
      <c r="L18" s="4">
        <v>4.12</v>
      </c>
      <c r="M18" s="4">
        <v>4.4000000000000004</v>
      </c>
      <c r="N18" s="4">
        <v>4.22</v>
      </c>
    </row>
    <row r="19" spans="1:14" x14ac:dyDescent="0.2">
      <c r="A19" s="3">
        <v>45265</v>
      </c>
      <c r="B19" s="4">
        <v>5.54</v>
      </c>
      <c r="C19" s="4">
        <v>5.51</v>
      </c>
      <c r="D19" s="4">
        <v>5.45</v>
      </c>
      <c r="E19" s="4">
        <v>5.46</v>
      </c>
      <c r="F19" s="4">
        <v>5.37</v>
      </c>
      <c r="G19" s="4">
        <v>5.0599999999999996</v>
      </c>
      <c r="H19" s="4">
        <v>4.57</v>
      </c>
      <c r="I19" s="4">
        <v>4.33</v>
      </c>
      <c r="J19" s="4">
        <v>4.1399999999999997</v>
      </c>
      <c r="K19" s="4">
        <v>4.2</v>
      </c>
      <c r="L19" s="4">
        <v>4.18</v>
      </c>
      <c r="M19" s="4">
        <v>4.4800000000000004</v>
      </c>
      <c r="N19" s="4">
        <v>4.3</v>
      </c>
    </row>
    <row r="20" spans="1:14" x14ac:dyDescent="0.2">
      <c r="A20" s="3">
        <v>45264</v>
      </c>
      <c r="B20" s="4">
        <v>5.55</v>
      </c>
      <c r="C20" s="4">
        <v>5.53</v>
      </c>
      <c r="D20" s="4">
        <v>5.46</v>
      </c>
      <c r="E20" s="4">
        <v>5.47</v>
      </c>
      <c r="F20" s="4">
        <v>5.41</v>
      </c>
      <c r="G20" s="4">
        <v>5.0999999999999996</v>
      </c>
      <c r="H20" s="4">
        <v>4.6399999999999997</v>
      </c>
      <c r="I20" s="4">
        <v>4.4000000000000004</v>
      </c>
      <c r="J20" s="4">
        <v>4.2300000000000004</v>
      </c>
      <c r="K20" s="4">
        <v>4.3</v>
      </c>
      <c r="L20" s="4">
        <v>4.28</v>
      </c>
      <c r="M20" s="4">
        <v>4.6100000000000003</v>
      </c>
      <c r="N20" s="4">
        <v>4.43</v>
      </c>
    </row>
    <row r="21" spans="1:14" x14ac:dyDescent="0.2">
      <c r="A21" s="3">
        <v>45261</v>
      </c>
      <c r="B21" s="4">
        <v>5.55</v>
      </c>
      <c r="C21" s="4">
        <v>5.53</v>
      </c>
      <c r="D21" s="4">
        <v>5.43</v>
      </c>
      <c r="E21" s="4">
        <v>5.45</v>
      </c>
      <c r="F21" s="4">
        <v>5.33</v>
      </c>
      <c r="G21" s="4">
        <v>5.05</v>
      </c>
      <c r="H21" s="4">
        <v>4.5599999999999996</v>
      </c>
      <c r="I21" s="4">
        <v>4.3099999999999996</v>
      </c>
      <c r="J21" s="4">
        <v>4.1399999999999997</v>
      </c>
      <c r="K21" s="4">
        <v>4.22</v>
      </c>
      <c r="L21" s="4">
        <v>4.22</v>
      </c>
      <c r="M21" s="4">
        <v>4.58</v>
      </c>
      <c r="N21" s="4">
        <v>4.4000000000000004</v>
      </c>
    </row>
    <row r="22" spans="1:14" x14ac:dyDescent="0.2">
      <c r="A22" s="3">
        <v>45260</v>
      </c>
      <c r="B22" s="4">
        <v>5.56</v>
      </c>
      <c r="C22" s="4">
        <v>5.54</v>
      </c>
      <c r="D22" s="4">
        <v>5.45</v>
      </c>
      <c r="E22" s="4">
        <v>5.49</v>
      </c>
      <c r="F22" s="4">
        <v>5.38</v>
      </c>
      <c r="G22" s="4">
        <v>5.16</v>
      </c>
      <c r="H22" s="4">
        <v>4.7300000000000004</v>
      </c>
      <c r="I22" s="4">
        <v>4.4800000000000004</v>
      </c>
      <c r="J22" s="4">
        <v>4.3099999999999996</v>
      </c>
      <c r="K22" s="4">
        <v>4.38</v>
      </c>
      <c r="L22" s="4">
        <v>4.37</v>
      </c>
      <c r="M22" s="4">
        <v>4.72</v>
      </c>
      <c r="N22" s="4">
        <v>4.54</v>
      </c>
    </row>
    <row r="23" spans="1:14" x14ac:dyDescent="0.2">
      <c r="A23" s="3">
        <v>45259</v>
      </c>
      <c r="B23" s="4">
        <v>5.53</v>
      </c>
      <c r="C23" s="4">
        <v>5.52</v>
      </c>
      <c r="D23" s="4">
        <v>5.45</v>
      </c>
      <c r="E23" s="4">
        <v>5.48</v>
      </c>
      <c r="F23" s="4">
        <v>5.38</v>
      </c>
      <c r="G23" s="4">
        <v>5.12</v>
      </c>
      <c r="H23" s="4">
        <v>4.6399999999999997</v>
      </c>
      <c r="I23" s="4">
        <v>4.4000000000000004</v>
      </c>
      <c r="J23" s="4">
        <v>4.22</v>
      </c>
      <c r="K23" s="4">
        <v>4.28</v>
      </c>
      <c r="L23" s="4">
        <v>4.2699999999999996</v>
      </c>
      <c r="M23" s="4">
        <v>4.62</v>
      </c>
      <c r="N23" s="4">
        <v>4.4400000000000004</v>
      </c>
    </row>
    <row r="24" spans="1:14" x14ac:dyDescent="0.2">
      <c r="A24" s="3">
        <v>45258</v>
      </c>
      <c r="B24" s="4">
        <v>5.53</v>
      </c>
      <c r="C24" s="4">
        <v>5.53</v>
      </c>
      <c r="D24" s="4">
        <v>5.47</v>
      </c>
      <c r="E24" s="4">
        <v>5.45</v>
      </c>
      <c r="F24" s="4">
        <v>5.42</v>
      </c>
      <c r="G24" s="4">
        <v>5.21</v>
      </c>
      <c r="H24" s="4">
        <v>4.7300000000000004</v>
      </c>
      <c r="I24" s="4">
        <v>4.49</v>
      </c>
      <c r="J24" s="4">
        <v>4.29</v>
      </c>
      <c r="K24" s="4">
        <v>4.3600000000000003</v>
      </c>
      <c r="L24" s="4">
        <v>4.34</v>
      </c>
      <c r="M24" s="4">
        <v>4.7</v>
      </c>
      <c r="N24" s="4">
        <v>4.5199999999999996</v>
      </c>
    </row>
    <row r="25" spans="1:14" x14ac:dyDescent="0.2">
      <c r="A25" s="3">
        <v>45257</v>
      </c>
      <c r="B25" s="4">
        <v>5.54</v>
      </c>
      <c r="C25" s="4">
        <v>5.54</v>
      </c>
      <c r="D25" s="4">
        <v>5.49</v>
      </c>
      <c r="E25" s="4">
        <v>5.47</v>
      </c>
      <c r="F25" s="4">
        <v>5.45</v>
      </c>
      <c r="G25" s="4">
        <v>5.24</v>
      </c>
      <c r="H25" s="4">
        <v>4.84</v>
      </c>
      <c r="I25" s="4">
        <v>4.5999999999999996</v>
      </c>
      <c r="J25" s="4">
        <v>4.38</v>
      </c>
      <c r="K25" s="4">
        <v>4.43</v>
      </c>
      <c r="L25" s="4">
        <v>4.3899999999999997</v>
      </c>
      <c r="M25" s="4">
        <v>4.72</v>
      </c>
      <c r="N25" s="4">
        <v>4.53</v>
      </c>
    </row>
    <row r="26" spans="1:14" x14ac:dyDescent="0.2">
      <c r="A26" s="3">
        <v>45254</v>
      </c>
      <c r="B26" s="4">
        <v>5.55</v>
      </c>
      <c r="C26" s="4">
        <v>5.56</v>
      </c>
      <c r="D26" s="4">
        <v>5.54</v>
      </c>
      <c r="E26" s="4">
        <v>5.48</v>
      </c>
      <c r="F26" s="4">
        <v>5.45</v>
      </c>
      <c r="G26" s="4">
        <v>5.27</v>
      </c>
      <c r="H26" s="4">
        <v>4.92</v>
      </c>
      <c r="I26" s="4">
        <v>4.67</v>
      </c>
      <c r="J26" s="4">
        <v>4.49</v>
      </c>
      <c r="K26" s="4">
        <v>4.51</v>
      </c>
      <c r="L26" s="4">
        <v>4.47</v>
      </c>
      <c r="M26" s="4">
        <v>4.79</v>
      </c>
      <c r="N26" s="4">
        <v>4.5999999999999996</v>
      </c>
    </row>
    <row r="27" spans="1:14" x14ac:dyDescent="0.2">
      <c r="A27" s="3">
        <v>45252</v>
      </c>
      <c r="B27" s="4">
        <v>5.54</v>
      </c>
      <c r="C27" s="4">
        <v>5.55</v>
      </c>
      <c r="D27" s="4">
        <v>5.54</v>
      </c>
      <c r="E27" s="4">
        <v>5.47</v>
      </c>
      <c r="F27" s="4">
        <v>5.42</v>
      </c>
      <c r="G27" s="4">
        <v>5.26</v>
      </c>
      <c r="H27" s="4">
        <v>4.8899999999999997</v>
      </c>
      <c r="I27" s="4">
        <v>4.62</v>
      </c>
      <c r="J27" s="4">
        <v>4.4400000000000004</v>
      </c>
      <c r="K27" s="4">
        <v>4.46</v>
      </c>
      <c r="L27" s="4">
        <v>4.42</v>
      </c>
      <c r="M27" s="4">
        <v>4.7300000000000004</v>
      </c>
      <c r="N27" s="4">
        <v>4.55</v>
      </c>
    </row>
    <row r="28" spans="1:14" x14ac:dyDescent="0.2">
      <c r="A28" s="3">
        <v>45251</v>
      </c>
      <c r="B28" s="4">
        <v>5.52</v>
      </c>
      <c r="C28" s="4">
        <v>5.54</v>
      </c>
      <c r="D28" s="4">
        <v>5.53</v>
      </c>
      <c r="E28" s="4">
        <v>5.45</v>
      </c>
      <c r="F28" s="4">
        <v>5.42</v>
      </c>
      <c r="G28" s="4">
        <v>5.24</v>
      </c>
      <c r="H28" s="4">
        <v>4.8600000000000003</v>
      </c>
      <c r="I28" s="4">
        <v>4.5999999999999996</v>
      </c>
      <c r="J28" s="4">
        <v>4.41</v>
      </c>
      <c r="K28" s="4">
        <v>4.4400000000000004</v>
      </c>
      <c r="L28" s="4">
        <v>4.41</v>
      </c>
      <c r="M28" s="4">
        <v>4.75</v>
      </c>
      <c r="N28" s="4">
        <v>4.57</v>
      </c>
    </row>
    <row r="29" spans="1:14" x14ac:dyDescent="0.2">
      <c r="A29" s="3">
        <v>45250</v>
      </c>
      <c r="B29" s="4">
        <v>5.53</v>
      </c>
      <c r="C29" s="4">
        <v>5.55</v>
      </c>
      <c r="D29" s="4">
        <v>5.54</v>
      </c>
      <c r="E29" s="4">
        <v>5.46</v>
      </c>
      <c r="F29" s="4">
        <v>5.43</v>
      </c>
      <c r="G29" s="4">
        <v>5.25</v>
      </c>
      <c r="H29" s="4">
        <v>4.8899999999999997</v>
      </c>
      <c r="I29" s="4">
        <v>4.62</v>
      </c>
      <c r="J29" s="4">
        <v>4.4400000000000004</v>
      </c>
      <c r="K29" s="4">
        <v>4.46</v>
      </c>
      <c r="L29" s="4">
        <v>4.42</v>
      </c>
      <c r="M29" s="4">
        <v>4.74</v>
      </c>
      <c r="N29" s="4">
        <v>4.57</v>
      </c>
    </row>
    <row r="30" spans="1:14" x14ac:dyDescent="0.2">
      <c r="A30" s="3">
        <v>45247</v>
      </c>
      <c r="B30" s="4">
        <v>5.52</v>
      </c>
      <c r="C30" s="4">
        <v>5.54</v>
      </c>
      <c r="D30" s="4">
        <v>5.5</v>
      </c>
      <c r="E30" s="4">
        <v>5.42</v>
      </c>
      <c r="F30" s="4">
        <v>5.39</v>
      </c>
      <c r="G30" s="4">
        <v>5.24</v>
      </c>
      <c r="H30" s="4">
        <v>4.88</v>
      </c>
      <c r="I30" s="4">
        <v>4.6399999999999997</v>
      </c>
      <c r="J30" s="4">
        <v>4.45</v>
      </c>
      <c r="K30" s="4">
        <v>4.47</v>
      </c>
      <c r="L30" s="4">
        <v>4.4400000000000004</v>
      </c>
      <c r="M30" s="4">
        <v>4.8</v>
      </c>
      <c r="N30" s="4">
        <v>4.59</v>
      </c>
    </row>
    <row r="31" spans="1:14" x14ac:dyDescent="0.2">
      <c r="A31" s="3">
        <v>45246</v>
      </c>
      <c r="B31" s="4">
        <v>5.53</v>
      </c>
      <c r="C31" s="4">
        <v>5.55</v>
      </c>
      <c r="D31" s="4">
        <v>5.51</v>
      </c>
      <c r="E31" s="4">
        <v>5.46</v>
      </c>
      <c r="F31" s="4">
        <v>5.38</v>
      </c>
      <c r="G31" s="4">
        <v>5.23</v>
      </c>
      <c r="H31" s="4">
        <v>4.83</v>
      </c>
      <c r="I31" s="4">
        <v>4.59</v>
      </c>
      <c r="J31" s="4">
        <v>4.43</v>
      </c>
      <c r="K31" s="4">
        <v>4.47</v>
      </c>
      <c r="L31" s="4">
        <v>4.45</v>
      </c>
      <c r="M31" s="4">
        <v>4.82</v>
      </c>
      <c r="N31" s="4">
        <v>4.63</v>
      </c>
    </row>
    <row r="32" spans="1:14" x14ac:dyDescent="0.2">
      <c r="A32" s="3">
        <v>45245</v>
      </c>
      <c r="B32" s="4">
        <v>5.52</v>
      </c>
      <c r="C32" s="4">
        <v>5.54</v>
      </c>
      <c r="D32" s="4">
        <v>5.53</v>
      </c>
      <c r="E32" s="4">
        <v>5.46</v>
      </c>
      <c r="F32" s="4">
        <v>5.41</v>
      </c>
      <c r="G32" s="4">
        <v>5.27</v>
      </c>
      <c r="H32" s="4">
        <v>4.9000000000000004</v>
      </c>
      <c r="I32" s="4">
        <v>4.68</v>
      </c>
      <c r="J32" s="4">
        <v>4.5199999999999996</v>
      </c>
      <c r="K32" s="4">
        <v>4.5599999999999996</v>
      </c>
      <c r="L32" s="4">
        <v>4.53</v>
      </c>
      <c r="M32" s="4">
        <v>4.87</v>
      </c>
      <c r="N32" s="4">
        <v>4.68</v>
      </c>
    </row>
    <row r="33" spans="1:14" x14ac:dyDescent="0.2">
      <c r="A33" s="3">
        <v>45244</v>
      </c>
      <c r="B33" s="4">
        <v>5.52</v>
      </c>
      <c r="C33" s="4">
        <v>5.55</v>
      </c>
      <c r="D33" s="4">
        <v>5.52</v>
      </c>
      <c r="E33" s="4">
        <v>5.45</v>
      </c>
      <c r="F33" s="4">
        <v>5.41</v>
      </c>
      <c r="G33" s="4">
        <v>5.24</v>
      </c>
      <c r="H33" s="4">
        <v>4.8</v>
      </c>
      <c r="I33" s="4">
        <v>4.5599999999999996</v>
      </c>
      <c r="J33" s="4">
        <v>4.42</v>
      </c>
      <c r="K33" s="4">
        <v>4.45</v>
      </c>
      <c r="L33" s="4">
        <v>4.4400000000000004</v>
      </c>
      <c r="M33" s="4">
        <v>4.8</v>
      </c>
      <c r="N33" s="4">
        <v>4.6100000000000003</v>
      </c>
    </row>
    <row r="34" spans="1:14" x14ac:dyDescent="0.2">
      <c r="A34" s="3">
        <v>45243</v>
      </c>
      <c r="B34" s="4">
        <v>5.53</v>
      </c>
      <c r="C34" s="4">
        <v>5.55</v>
      </c>
      <c r="D34" s="4">
        <v>5.55</v>
      </c>
      <c r="E34" s="4">
        <v>5.49</v>
      </c>
      <c r="F34" s="4">
        <v>5.48</v>
      </c>
      <c r="G34" s="4">
        <v>5.37</v>
      </c>
      <c r="H34" s="4">
        <v>5.0199999999999996</v>
      </c>
      <c r="I34" s="4">
        <v>4.8</v>
      </c>
      <c r="J34" s="4">
        <v>4.66</v>
      </c>
      <c r="K34" s="4">
        <v>4.6900000000000004</v>
      </c>
      <c r="L34" s="4">
        <v>4.63</v>
      </c>
      <c r="M34" s="4">
        <v>4.95</v>
      </c>
      <c r="N34" s="4">
        <v>4.75</v>
      </c>
    </row>
    <row r="35" spans="1:14" x14ac:dyDescent="0.2">
      <c r="A35" s="3">
        <v>45240</v>
      </c>
      <c r="B35" s="4">
        <v>5.53</v>
      </c>
      <c r="C35" s="4">
        <v>5.55</v>
      </c>
      <c r="D35" s="4">
        <v>5.53</v>
      </c>
      <c r="E35" s="4">
        <v>5.47</v>
      </c>
      <c r="F35" s="4">
        <v>5.46</v>
      </c>
      <c r="G35" s="4">
        <v>5.38</v>
      </c>
      <c r="H35" s="4">
        <v>5.04</v>
      </c>
      <c r="I35" s="4">
        <v>4.8</v>
      </c>
      <c r="J35" s="4">
        <v>4.6500000000000004</v>
      </c>
      <c r="K35" s="4">
        <v>4.68</v>
      </c>
      <c r="L35" s="4">
        <v>4.6100000000000003</v>
      </c>
      <c r="M35" s="4">
        <v>4.93</v>
      </c>
      <c r="N35" s="4">
        <v>4.7300000000000004</v>
      </c>
    </row>
    <row r="36" spans="1:14" x14ac:dyDescent="0.2">
      <c r="A36" s="3">
        <v>45239</v>
      </c>
      <c r="B36" s="4">
        <v>5.53</v>
      </c>
      <c r="C36" s="4">
        <v>5.56</v>
      </c>
      <c r="D36" s="4">
        <v>5.54</v>
      </c>
      <c r="E36" s="4">
        <v>5.5</v>
      </c>
      <c r="F36" s="4">
        <v>5.46</v>
      </c>
      <c r="G36" s="4">
        <v>5.39</v>
      </c>
      <c r="H36" s="4">
        <v>5.03</v>
      </c>
      <c r="I36" s="4">
        <v>4.7699999999999996</v>
      </c>
      <c r="J36" s="4">
        <v>4.6500000000000004</v>
      </c>
      <c r="K36" s="4">
        <v>4.68</v>
      </c>
      <c r="L36" s="4">
        <v>4.62</v>
      </c>
      <c r="M36" s="4">
        <v>4.97</v>
      </c>
      <c r="N36" s="4">
        <v>4.7699999999999996</v>
      </c>
    </row>
    <row r="37" spans="1:14" x14ac:dyDescent="0.2">
      <c r="A37" s="3">
        <v>45238</v>
      </c>
      <c r="B37" s="4">
        <v>5.52</v>
      </c>
      <c r="C37" s="4">
        <v>5.54</v>
      </c>
      <c r="D37" s="4">
        <v>5.54</v>
      </c>
      <c r="E37" s="4">
        <v>5.49</v>
      </c>
      <c r="F37" s="4">
        <v>5.46</v>
      </c>
      <c r="G37" s="4">
        <v>5.34</v>
      </c>
      <c r="H37" s="4">
        <v>4.93</v>
      </c>
      <c r="I37" s="4">
        <v>4.6500000000000004</v>
      </c>
      <c r="J37" s="4">
        <v>4.51</v>
      </c>
      <c r="K37" s="4">
        <v>4.54</v>
      </c>
      <c r="L37" s="4">
        <v>4.49</v>
      </c>
      <c r="M37" s="4">
        <v>4.82</v>
      </c>
      <c r="N37" s="4">
        <v>4.6399999999999997</v>
      </c>
    </row>
    <row r="38" spans="1:14" x14ac:dyDescent="0.2">
      <c r="A38" s="3">
        <v>45237</v>
      </c>
      <c r="B38" s="4">
        <v>5.53</v>
      </c>
      <c r="C38" s="4">
        <v>5.56</v>
      </c>
      <c r="D38" s="4">
        <v>5.55</v>
      </c>
      <c r="E38" s="4">
        <v>5.48</v>
      </c>
      <c r="F38" s="4">
        <v>5.47</v>
      </c>
      <c r="G38" s="4">
        <v>5.33</v>
      </c>
      <c r="H38" s="4">
        <v>4.91</v>
      </c>
      <c r="I38" s="4">
        <v>4.6399999999999997</v>
      </c>
      <c r="J38" s="4">
        <v>4.53</v>
      </c>
      <c r="K38" s="4">
        <v>4.58</v>
      </c>
      <c r="L38" s="4">
        <v>4.58</v>
      </c>
      <c r="M38" s="4">
        <v>4.91</v>
      </c>
      <c r="N38" s="4">
        <v>4.75</v>
      </c>
    </row>
    <row r="39" spans="1:14" x14ac:dyDescent="0.2">
      <c r="A39" s="3">
        <v>45236</v>
      </c>
      <c r="B39" s="4">
        <v>5.53</v>
      </c>
      <c r="C39" s="4">
        <v>5.56</v>
      </c>
      <c r="D39" s="4">
        <v>5.56</v>
      </c>
      <c r="E39" s="4">
        <v>5.49</v>
      </c>
      <c r="F39" s="4">
        <v>5.47</v>
      </c>
      <c r="G39" s="4">
        <v>5.33</v>
      </c>
      <c r="H39" s="4">
        <v>4.93</v>
      </c>
      <c r="I39" s="4">
        <v>4.72</v>
      </c>
      <c r="J39" s="4">
        <v>4.5999999999999996</v>
      </c>
      <c r="K39" s="4">
        <v>4.66</v>
      </c>
      <c r="L39" s="4">
        <v>4.67</v>
      </c>
      <c r="M39" s="4">
        <v>5</v>
      </c>
      <c r="N39" s="4">
        <v>4.84</v>
      </c>
    </row>
    <row r="40" spans="1:14" x14ac:dyDescent="0.2">
      <c r="A40" s="3">
        <v>45233</v>
      </c>
      <c r="B40" s="4">
        <v>5.53</v>
      </c>
      <c r="C40" s="4">
        <v>5.56</v>
      </c>
      <c r="D40" s="4">
        <v>5.53</v>
      </c>
      <c r="E40" s="4">
        <v>5.5</v>
      </c>
      <c r="F40" s="4">
        <v>5.45</v>
      </c>
      <c r="G40" s="4">
        <v>5.29</v>
      </c>
      <c r="H40" s="4">
        <v>4.83</v>
      </c>
      <c r="I40" s="4">
        <v>4.62</v>
      </c>
      <c r="J40" s="4">
        <v>4.49</v>
      </c>
      <c r="K40" s="4">
        <v>4.55</v>
      </c>
      <c r="L40" s="4">
        <v>4.57</v>
      </c>
      <c r="M40" s="4">
        <v>4.93</v>
      </c>
      <c r="N40" s="4">
        <v>4.7699999999999996</v>
      </c>
    </row>
    <row r="41" spans="1:14" x14ac:dyDescent="0.2">
      <c r="A41" s="3">
        <v>45232</v>
      </c>
      <c r="B41" s="4">
        <v>5.52</v>
      </c>
      <c r="C41" s="4">
        <v>5.56</v>
      </c>
      <c r="D41" s="4">
        <v>5.54</v>
      </c>
      <c r="E41" s="4">
        <v>5.53</v>
      </c>
      <c r="F41" s="4">
        <v>5.5</v>
      </c>
      <c r="G41" s="4">
        <v>5.38</v>
      </c>
      <c r="H41" s="4">
        <v>4.9800000000000004</v>
      </c>
      <c r="I41" s="4">
        <v>4.78</v>
      </c>
      <c r="J41" s="4">
        <v>4.6500000000000004</v>
      </c>
      <c r="K41" s="4">
        <v>4.68</v>
      </c>
      <c r="L41" s="4">
        <v>4.67</v>
      </c>
      <c r="M41" s="4">
        <v>4.99</v>
      </c>
      <c r="N41" s="4">
        <v>4.82</v>
      </c>
    </row>
    <row r="42" spans="1:14" x14ac:dyDescent="0.2">
      <c r="A42" s="3">
        <v>45231</v>
      </c>
      <c r="B42" s="4">
        <v>5.56</v>
      </c>
      <c r="C42" s="4">
        <v>5.55</v>
      </c>
      <c r="D42" s="4">
        <v>5.57</v>
      </c>
      <c r="E42" s="4">
        <v>5.54</v>
      </c>
      <c r="F42" s="4">
        <v>5.51</v>
      </c>
      <c r="G42" s="4">
        <v>5.37</v>
      </c>
      <c r="H42" s="4">
        <v>4.95</v>
      </c>
      <c r="I42" s="4">
        <v>4.76</v>
      </c>
      <c r="J42" s="4">
        <v>4.67</v>
      </c>
      <c r="K42" s="4">
        <v>4.75</v>
      </c>
      <c r="L42" s="4">
        <v>4.7699999999999996</v>
      </c>
      <c r="M42" s="4">
        <v>5.13</v>
      </c>
      <c r="N42" s="4">
        <v>4.96</v>
      </c>
    </row>
    <row r="43" spans="1:14" x14ac:dyDescent="0.2">
      <c r="A43" s="3">
        <v>45230</v>
      </c>
      <c r="B43" s="4">
        <v>5.56</v>
      </c>
      <c r="C43" s="4">
        <v>5.57</v>
      </c>
      <c r="D43" s="4">
        <v>5.59</v>
      </c>
      <c r="E43" s="4">
        <v>5.61</v>
      </c>
      <c r="F43" s="4">
        <v>5.54</v>
      </c>
      <c r="G43" s="4">
        <v>5.44</v>
      </c>
      <c r="H43" s="4">
        <v>5.07</v>
      </c>
      <c r="I43" s="4">
        <v>4.9000000000000004</v>
      </c>
      <c r="J43" s="4">
        <v>4.82</v>
      </c>
      <c r="K43" s="4">
        <v>4.8899999999999997</v>
      </c>
      <c r="L43" s="4">
        <v>4.88</v>
      </c>
      <c r="M43" s="4">
        <v>5.21</v>
      </c>
      <c r="N43" s="4">
        <v>5.04</v>
      </c>
    </row>
    <row r="44" spans="1:14" x14ac:dyDescent="0.2">
      <c r="A44" s="3">
        <v>45229</v>
      </c>
      <c r="B44" s="4">
        <v>5.56</v>
      </c>
      <c r="C44" s="4">
        <v>5.57</v>
      </c>
      <c r="D44" s="4">
        <v>5.6</v>
      </c>
      <c r="E44" s="4">
        <v>5.61</v>
      </c>
      <c r="F44" s="4">
        <v>5.53</v>
      </c>
      <c r="G44" s="4">
        <v>5.41</v>
      </c>
      <c r="H44" s="4">
        <v>5.03</v>
      </c>
      <c r="I44" s="4">
        <v>4.87</v>
      </c>
      <c r="J44" s="4">
        <v>4.8</v>
      </c>
      <c r="K44" s="4">
        <v>4.88</v>
      </c>
      <c r="L44" s="4">
        <v>4.88</v>
      </c>
      <c r="M44" s="4">
        <v>5.21</v>
      </c>
      <c r="N44" s="4">
        <v>5.04</v>
      </c>
    </row>
    <row r="45" spans="1:14" x14ac:dyDescent="0.2">
      <c r="A45" s="3">
        <v>45226</v>
      </c>
      <c r="B45" s="4">
        <v>5.57</v>
      </c>
      <c r="C45" s="4">
        <v>5.57</v>
      </c>
      <c r="D45" s="4">
        <v>5.59</v>
      </c>
      <c r="E45" s="4">
        <v>5.6</v>
      </c>
      <c r="F45" s="4">
        <v>5.55</v>
      </c>
      <c r="G45" s="4">
        <v>5.39</v>
      </c>
      <c r="H45" s="4">
        <v>4.99</v>
      </c>
      <c r="I45" s="4">
        <v>4.84</v>
      </c>
      <c r="J45" s="4">
        <v>4.76</v>
      </c>
      <c r="K45" s="4">
        <v>4.83</v>
      </c>
      <c r="L45" s="4">
        <v>4.84</v>
      </c>
      <c r="M45" s="4">
        <v>5.19</v>
      </c>
      <c r="N45" s="4">
        <v>5.03</v>
      </c>
    </row>
    <row r="46" spans="1:14" x14ac:dyDescent="0.2">
      <c r="A46" s="3">
        <v>45225</v>
      </c>
      <c r="B46" s="4">
        <v>5.57</v>
      </c>
      <c r="C46" s="4">
        <v>5.57</v>
      </c>
      <c r="D46" s="4">
        <v>5.59</v>
      </c>
      <c r="E46" s="4">
        <v>5.6</v>
      </c>
      <c r="F46" s="4">
        <v>5.55</v>
      </c>
      <c r="G46" s="4">
        <v>5.39</v>
      </c>
      <c r="H46" s="4">
        <v>5.0199999999999996</v>
      </c>
      <c r="I46" s="4">
        <v>4.8899999999999997</v>
      </c>
      <c r="J46" s="4">
        <v>4.79</v>
      </c>
      <c r="K46" s="4">
        <v>4.8600000000000003</v>
      </c>
      <c r="L46" s="4">
        <v>4.8600000000000003</v>
      </c>
      <c r="M46" s="4">
        <v>5.19</v>
      </c>
      <c r="N46" s="4">
        <v>5.01</v>
      </c>
    </row>
    <row r="47" spans="1:14" x14ac:dyDescent="0.2">
      <c r="A47" s="3">
        <v>45224</v>
      </c>
      <c r="B47" s="4">
        <v>5.56</v>
      </c>
      <c r="C47" s="4">
        <v>5.57</v>
      </c>
      <c r="D47" s="4">
        <v>5.59</v>
      </c>
      <c r="E47" s="4">
        <v>5.61</v>
      </c>
      <c r="F47" s="4">
        <v>5.57</v>
      </c>
      <c r="G47" s="4">
        <v>5.43</v>
      </c>
      <c r="H47" s="4">
        <v>5.08</v>
      </c>
      <c r="I47" s="4">
        <v>4.9800000000000004</v>
      </c>
      <c r="J47" s="4">
        <v>4.8899999999999997</v>
      </c>
      <c r="K47" s="4">
        <v>4.9800000000000004</v>
      </c>
      <c r="L47" s="4">
        <v>4.95</v>
      </c>
      <c r="M47" s="4">
        <v>5.27</v>
      </c>
      <c r="N47" s="4">
        <v>5.09</v>
      </c>
    </row>
    <row r="48" spans="1:14" x14ac:dyDescent="0.2">
      <c r="A48" s="3">
        <v>45223</v>
      </c>
      <c r="B48" s="4">
        <v>5.57</v>
      </c>
      <c r="C48" s="4">
        <v>5.57</v>
      </c>
      <c r="D48" s="4">
        <v>5.58</v>
      </c>
      <c r="E48" s="4">
        <v>5.6</v>
      </c>
      <c r="F48" s="4">
        <v>5.57</v>
      </c>
      <c r="G48" s="4">
        <v>5.41</v>
      </c>
      <c r="H48" s="4">
        <v>5.0199999999999996</v>
      </c>
      <c r="I48" s="4">
        <v>4.91</v>
      </c>
      <c r="J48" s="4">
        <v>4.82</v>
      </c>
      <c r="K48" s="4">
        <v>4.8600000000000003</v>
      </c>
      <c r="L48" s="4">
        <v>4.83</v>
      </c>
      <c r="M48" s="4">
        <v>5.15</v>
      </c>
      <c r="N48" s="4">
        <v>4.96</v>
      </c>
    </row>
    <row r="49" spans="1:14" x14ac:dyDescent="0.2">
      <c r="A49" s="3">
        <v>45222</v>
      </c>
      <c r="B49" s="4">
        <v>5.57</v>
      </c>
      <c r="C49" s="4">
        <v>5.57</v>
      </c>
      <c r="D49" s="4">
        <v>5.58</v>
      </c>
      <c r="E49" s="4">
        <v>5.59</v>
      </c>
      <c r="F49" s="4">
        <v>5.56</v>
      </c>
      <c r="G49" s="4">
        <v>5.42</v>
      </c>
      <c r="H49" s="4">
        <v>5.05</v>
      </c>
      <c r="I49" s="4">
        <v>4.8899999999999997</v>
      </c>
      <c r="J49" s="4">
        <v>4.8099999999999996</v>
      </c>
      <c r="K49" s="4">
        <v>4.87</v>
      </c>
      <c r="L49" s="4">
        <v>4.8600000000000003</v>
      </c>
      <c r="M49" s="4">
        <v>5.19</v>
      </c>
      <c r="N49" s="4">
        <v>5.01</v>
      </c>
    </row>
    <row r="50" spans="1:14" x14ac:dyDescent="0.2">
      <c r="A50" s="3">
        <v>45219</v>
      </c>
      <c r="B50" s="4">
        <v>5.56</v>
      </c>
      <c r="C50" s="4">
        <v>5.56</v>
      </c>
      <c r="D50" s="4">
        <v>5.58</v>
      </c>
      <c r="E50" s="4">
        <v>5.61</v>
      </c>
      <c r="F50" s="4">
        <v>5.54</v>
      </c>
      <c r="G50" s="4">
        <v>5.41</v>
      </c>
      <c r="H50" s="4">
        <v>5.07</v>
      </c>
      <c r="I50" s="4">
        <v>4.93</v>
      </c>
      <c r="J50" s="4">
        <v>4.8600000000000003</v>
      </c>
      <c r="K50" s="4">
        <v>4.93</v>
      </c>
      <c r="L50" s="4">
        <v>4.93</v>
      </c>
      <c r="M50" s="4">
        <v>5.27</v>
      </c>
      <c r="N50" s="4">
        <v>5.09</v>
      </c>
    </row>
    <row r="51" spans="1:14" x14ac:dyDescent="0.2">
      <c r="A51" s="3">
        <v>45218</v>
      </c>
      <c r="B51" s="4">
        <v>5.58</v>
      </c>
      <c r="C51" s="4">
        <v>5.57</v>
      </c>
      <c r="D51" s="4">
        <v>5.6</v>
      </c>
      <c r="E51" s="4">
        <v>5.62</v>
      </c>
      <c r="F51" s="4">
        <v>5.56</v>
      </c>
      <c r="G51" s="4">
        <v>5.44</v>
      </c>
      <c r="H51" s="4">
        <v>5.14</v>
      </c>
      <c r="I51" s="4">
        <v>5.01</v>
      </c>
      <c r="J51" s="4">
        <v>4.95</v>
      </c>
      <c r="K51" s="4">
        <v>5</v>
      </c>
      <c r="L51" s="4">
        <v>4.9800000000000004</v>
      </c>
      <c r="M51" s="4">
        <v>5.3</v>
      </c>
      <c r="N51" s="4">
        <v>5.1100000000000003</v>
      </c>
    </row>
    <row r="52" spans="1:14" x14ac:dyDescent="0.2">
      <c r="A52" s="3">
        <v>45217</v>
      </c>
      <c r="B52" s="4">
        <v>5.57</v>
      </c>
      <c r="C52" s="4">
        <v>5.56</v>
      </c>
      <c r="D52" s="4">
        <v>5.61</v>
      </c>
      <c r="E52" s="4">
        <v>5.62</v>
      </c>
      <c r="F52" s="4">
        <v>5.58</v>
      </c>
      <c r="G52" s="4">
        <v>5.47</v>
      </c>
      <c r="H52" s="4">
        <v>5.19</v>
      </c>
      <c r="I52" s="4">
        <v>5.03</v>
      </c>
      <c r="J52" s="4">
        <v>4.92</v>
      </c>
      <c r="K52" s="4">
        <v>4.95</v>
      </c>
      <c r="L52" s="4">
        <v>4.91</v>
      </c>
      <c r="M52" s="4">
        <v>5.2</v>
      </c>
      <c r="N52" s="4">
        <v>5</v>
      </c>
    </row>
    <row r="53" spans="1:14" x14ac:dyDescent="0.2">
      <c r="A53" s="3">
        <v>45216</v>
      </c>
      <c r="B53" s="4">
        <v>5.58</v>
      </c>
      <c r="C53" s="4">
        <v>5.58</v>
      </c>
      <c r="D53" s="4">
        <v>5.62</v>
      </c>
      <c r="E53" s="4">
        <v>5.64</v>
      </c>
      <c r="F53" s="4">
        <v>5.6</v>
      </c>
      <c r="G53" s="4">
        <v>5.48</v>
      </c>
      <c r="H53" s="4">
        <v>5.19</v>
      </c>
      <c r="I53" s="4">
        <v>5.01</v>
      </c>
      <c r="J53" s="4">
        <v>4.8600000000000003</v>
      </c>
      <c r="K53" s="4">
        <v>4.88</v>
      </c>
      <c r="L53" s="4">
        <v>4.83</v>
      </c>
      <c r="M53" s="4">
        <v>5.14</v>
      </c>
      <c r="N53" s="4">
        <v>4.9400000000000004</v>
      </c>
    </row>
    <row r="54" spans="1:14" x14ac:dyDescent="0.2">
      <c r="A54" s="3">
        <v>45215</v>
      </c>
      <c r="B54" s="4">
        <v>5.57</v>
      </c>
      <c r="C54" s="4">
        <v>5.58</v>
      </c>
      <c r="D54" s="4">
        <v>5.61</v>
      </c>
      <c r="E54" s="4">
        <v>5.63</v>
      </c>
      <c r="F54" s="4">
        <v>5.58</v>
      </c>
      <c r="G54" s="4">
        <v>5.42</v>
      </c>
      <c r="H54" s="4">
        <v>5.09</v>
      </c>
      <c r="I54" s="4">
        <v>4.87</v>
      </c>
      <c r="J54" s="4">
        <v>4.72</v>
      </c>
      <c r="K54" s="4">
        <v>4.74</v>
      </c>
      <c r="L54" s="4">
        <v>4.71</v>
      </c>
      <c r="M54" s="4">
        <v>5.0599999999999996</v>
      </c>
      <c r="N54" s="4">
        <v>4.87</v>
      </c>
    </row>
    <row r="55" spans="1:14" x14ac:dyDescent="0.2">
      <c r="A55" s="3">
        <v>45212</v>
      </c>
      <c r="B55" s="4">
        <v>5.6</v>
      </c>
      <c r="C55" s="4">
        <v>5.58</v>
      </c>
      <c r="D55" s="4">
        <v>5.62</v>
      </c>
      <c r="E55" s="4">
        <v>5.62</v>
      </c>
      <c r="F55" s="4">
        <v>5.57</v>
      </c>
      <c r="G55" s="4">
        <v>5.41</v>
      </c>
      <c r="H55" s="4">
        <v>5.04</v>
      </c>
      <c r="I55" s="4">
        <v>4.8</v>
      </c>
      <c r="J55" s="4">
        <v>4.6500000000000004</v>
      </c>
      <c r="K55" s="4">
        <v>4.66</v>
      </c>
      <c r="L55" s="4">
        <v>4.63</v>
      </c>
      <c r="M55" s="4">
        <v>4.97</v>
      </c>
      <c r="N55" s="4">
        <v>4.78</v>
      </c>
    </row>
    <row r="56" spans="1:14" x14ac:dyDescent="0.2">
      <c r="A56" s="3">
        <v>45211</v>
      </c>
      <c r="B56" s="4">
        <v>5.61</v>
      </c>
      <c r="C56" s="4">
        <v>5.59</v>
      </c>
      <c r="D56" s="4">
        <v>5.63</v>
      </c>
      <c r="E56" s="4">
        <v>5.63</v>
      </c>
      <c r="F56" s="4">
        <v>5.58</v>
      </c>
      <c r="G56" s="4">
        <v>5.43</v>
      </c>
      <c r="H56" s="4">
        <v>5.0599999999999996</v>
      </c>
      <c r="I56" s="4">
        <v>4.82</v>
      </c>
      <c r="J56" s="4">
        <v>4.6900000000000004</v>
      </c>
      <c r="K56" s="4">
        <v>4.7300000000000004</v>
      </c>
      <c r="L56" s="4">
        <v>4.7</v>
      </c>
      <c r="M56" s="4">
        <v>5.05</v>
      </c>
      <c r="N56" s="4">
        <v>4.8600000000000003</v>
      </c>
    </row>
    <row r="57" spans="1:14" x14ac:dyDescent="0.2">
      <c r="A57" s="3">
        <v>45210</v>
      </c>
      <c r="B57" s="4">
        <v>5.58</v>
      </c>
      <c r="C57" s="4">
        <v>5.59</v>
      </c>
      <c r="D57" s="4">
        <v>5.61</v>
      </c>
      <c r="E57" s="4">
        <v>5.63</v>
      </c>
      <c r="F57" s="4">
        <v>5.56</v>
      </c>
      <c r="G57" s="4">
        <v>5.38</v>
      </c>
      <c r="H57" s="4">
        <v>4.99</v>
      </c>
      <c r="I57" s="4">
        <v>4.7300000000000004</v>
      </c>
      <c r="J57" s="4">
        <v>4.59</v>
      </c>
      <c r="K57" s="4">
        <v>4.6100000000000003</v>
      </c>
      <c r="L57" s="4">
        <v>4.58</v>
      </c>
      <c r="M57" s="4">
        <v>4.92</v>
      </c>
      <c r="N57" s="4">
        <v>4.7300000000000004</v>
      </c>
    </row>
    <row r="58" spans="1:14" x14ac:dyDescent="0.2">
      <c r="A58" s="3">
        <v>45209</v>
      </c>
      <c r="B58" s="4">
        <v>5.6</v>
      </c>
      <c r="C58" s="4">
        <v>5.61</v>
      </c>
      <c r="D58" s="4">
        <v>5.61</v>
      </c>
      <c r="E58" s="4">
        <v>5.63</v>
      </c>
      <c r="F58" s="4">
        <v>5.57</v>
      </c>
      <c r="G58" s="4">
        <v>5.37</v>
      </c>
      <c r="H58" s="4">
        <v>4.96</v>
      </c>
      <c r="I58" s="4">
        <v>4.74</v>
      </c>
      <c r="J58" s="4">
        <v>4.62</v>
      </c>
      <c r="K58" s="4">
        <v>4.66</v>
      </c>
      <c r="L58" s="4">
        <v>4.66</v>
      </c>
      <c r="M58" s="4">
        <v>5.03</v>
      </c>
      <c r="N58" s="4">
        <v>4.8499999999999996</v>
      </c>
    </row>
    <row r="59" spans="1:14" x14ac:dyDescent="0.2">
      <c r="A59" s="3">
        <v>45205</v>
      </c>
      <c r="B59" s="4">
        <v>5.59</v>
      </c>
      <c r="C59" s="4">
        <v>5.6</v>
      </c>
      <c r="D59" s="4">
        <v>5.63</v>
      </c>
      <c r="E59" s="4">
        <v>5.64</v>
      </c>
      <c r="F59" s="4">
        <v>5.59</v>
      </c>
      <c r="G59" s="4">
        <v>5.43</v>
      </c>
      <c r="H59" s="4">
        <v>5.08</v>
      </c>
      <c r="I59" s="4">
        <v>4.87</v>
      </c>
      <c r="J59" s="4">
        <v>4.75</v>
      </c>
      <c r="K59" s="4">
        <v>4.79</v>
      </c>
      <c r="L59" s="4">
        <v>4.78</v>
      </c>
      <c r="M59" s="4">
        <v>5.13</v>
      </c>
      <c r="N59" s="4">
        <v>4.95</v>
      </c>
    </row>
    <row r="60" spans="1:14" x14ac:dyDescent="0.2">
      <c r="A60" s="3">
        <v>45204</v>
      </c>
      <c r="B60" s="4">
        <v>5.57</v>
      </c>
      <c r="C60" s="4">
        <v>5.59</v>
      </c>
      <c r="D60" s="4">
        <v>5.61</v>
      </c>
      <c r="E60" s="4">
        <v>5.62</v>
      </c>
      <c r="F60" s="4">
        <v>5.56</v>
      </c>
      <c r="G60" s="4">
        <v>5.39</v>
      </c>
      <c r="H60" s="4">
        <v>5.03</v>
      </c>
      <c r="I60" s="4">
        <v>4.82</v>
      </c>
      <c r="J60" s="4">
        <v>4.68</v>
      </c>
      <c r="K60" s="4">
        <v>4.7300000000000004</v>
      </c>
      <c r="L60" s="4">
        <v>4.72</v>
      </c>
      <c r="M60" s="4">
        <v>5.0599999999999996</v>
      </c>
      <c r="N60" s="4">
        <v>4.8899999999999997</v>
      </c>
    </row>
    <row r="61" spans="1:14" x14ac:dyDescent="0.2">
      <c r="A61" s="3">
        <v>45203</v>
      </c>
      <c r="B61" s="4">
        <v>5.56</v>
      </c>
      <c r="C61" s="4">
        <v>5.58</v>
      </c>
      <c r="D61" s="4">
        <v>5.61</v>
      </c>
      <c r="E61" s="4">
        <v>5.62</v>
      </c>
      <c r="F61" s="4">
        <v>5.57</v>
      </c>
      <c r="G61" s="4">
        <v>5.42</v>
      </c>
      <c r="H61" s="4">
        <v>5.05</v>
      </c>
      <c r="I61" s="4">
        <v>4.8499999999999996</v>
      </c>
      <c r="J61" s="4">
        <v>4.72</v>
      </c>
      <c r="K61" s="4">
        <v>4.75</v>
      </c>
      <c r="L61" s="4">
        <v>4.7300000000000004</v>
      </c>
      <c r="M61" s="4">
        <v>5.05</v>
      </c>
      <c r="N61" s="4">
        <v>4.87</v>
      </c>
    </row>
    <row r="62" spans="1:14" x14ac:dyDescent="0.2">
      <c r="A62" s="3">
        <v>45202</v>
      </c>
      <c r="B62" s="4">
        <v>5.55</v>
      </c>
      <c r="C62" s="4">
        <v>5.6</v>
      </c>
      <c r="D62" s="4">
        <v>5.62</v>
      </c>
      <c r="E62" s="4">
        <v>5.62</v>
      </c>
      <c r="F62" s="4">
        <v>5.58</v>
      </c>
      <c r="G62" s="4">
        <v>5.49</v>
      </c>
      <c r="H62" s="4">
        <v>5.15</v>
      </c>
      <c r="I62" s="4">
        <v>4.95</v>
      </c>
      <c r="J62" s="4">
        <v>4.8</v>
      </c>
      <c r="K62" s="4">
        <v>4.84</v>
      </c>
      <c r="L62" s="4">
        <v>4.8099999999999996</v>
      </c>
      <c r="M62" s="4">
        <v>5.13</v>
      </c>
      <c r="N62" s="4">
        <v>4.95</v>
      </c>
    </row>
    <row r="63" spans="1:14" x14ac:dyDescent="0.2">
      <c r="A63" s="3">
        <v>45201</v>
      </c>
      <c r="B63" s="4">
        <v>5.56</v>
      </c>
      <c r="C63" s="4">
        <v>5.6</v>
      </c>
      <c r="D63" s="4">
        <v>5.62</v>
      </c>
      <c r="E63" s="4">
        <v>5.62</v>
      </c>
      <c r="F63" s="4">
        <v>5.58</v>
      </c>
      <c r="G63" s="4">
        <v>5.49</v>
      </c>
      <c r="H63" s="4">
        <v>5.12</v>
      </c>
      <c r="I63" s="4">
        <v>4.88</v>
      </c>
      <c r="J63" s="4">
        <v>4.72</v>
      </c>
      <c r="K63" s="4">
        <v>4.7300000000000004</v>
      </c>
      <c r="L63" s="4">
        <v>4.6900000000000004</v>
      </c>
      <c r="M63" s="4">
        <v>5</v>
      </c>
      <c r="N63" s="4">
        <v>4.8099999999999996</v>
      </c>
    </row>
    <row r="64" spans="1:14" x14ac:dyDescent="0.2">
      <c r="A64" s="3">
        <v>45198</v>
      </c>
      <c r="B64" s="4">
        <v>5.55</v>
      </c>
      <c r="C64" s="4">
        <v>5.6</v>
      </c>
      <c r="D64" s="4">
        <v>5.55</v>
      </c>
      <c r="E64" s="4">
        <v>5.61</v>
      </c>
      <c r="F64" s="4">
        <v>5.53</v>
      </c>
      <c r="G64" s="4">
        <v>5.46</v>
      </c>
      <c r="H64" s="4">
        <v>5.03</v>
      </c>
      <c r="I64" s="4">
        <v>4.8</v>
      </c>
      <c r="J64" s="4">
        <v>4.5999999999999996</v>
      </c>
      <c r="K64" s="4">
        <v>4.6100000000000003</v>
      </c>
      <c r="L64" s="4">
        <v>4.59</v>
      </c>
      <c r="M64" s="4">
        <v>4.92</v>
      </c>
      <c r="N64" s="4">
        <v>4.7300000000000004</v>
      </c>
    </row>
    <row r="65" spans="1:14" x14ac:dyDescent="0.2">
      <c r="A65" s="3">
        <v>45197</v>
      </c>
      <c r="B65" s="4">
        <v>5.56</v>
      </c>
      <c r="C65" s="4">
        <v>5.61</v>
      </c>
      <c r="D65" s="4">
        <v>5.56</v>
      </c>
      <c r="E65" s="4">
        <v>5.61</v>
      </c>
      <c r="F65" s="4">
        <v>5.53</v>
      </c>
      <c r="G65" s="4">
        <v>5.46</v>
      </c>
      <c r="H65" s="4">
        <v>5.04</v>
      </c>
      <c r="I65" s="4">
        <v>4.83</v>
      </c>
      <c r="J65" s="4">
        <v>4.62</v>
      </c>
      <c r="K65" s="4">
        <v>4.63</v>
      </c>
      <c r="L65" s="4">
        <v>4.59</v>
      </c>
      <c r="M65" s="4">
        <v>4.9000000000000004</v>
      </c>
      <c r="N65" s="4">
        <v>4.71</v>
      </c>
    </row>
    <row r="66" spans="1:14" x14ac:dyDescent="0.2">
      <c r="A66" s="3">
        <v>45196</v>
      </c>
      <c r="B66" s="4">
        <v>5.54</v>
      </c>
      <c r="C66" s="4">
        <v>5.59</v>
      </c>
      <c r="D66" s="4">
        <v>5.58</v>
      </c>
      <c r="E66" s="4">
        <v>5.62</v>
      </c>
      <c r="F66" s="4">
        <v>5.53</v>
      </c>
      <c r="G66" s="4">
        <v>5.49</v>
      </c>
      <c r="H66" s="4">
        <v>5.0999999999999996</v>
      </c>
      <c r="I66" s="4">
        <v>4.8899999999999997</v>
      </c>
      <c r="J66" s="4">
        <v>4.67</v>
      </c>
      <c r="K66" s="4">
        <v>4.6900000000000004</v>
      </c>
      <c r="L66" s="4">
        <v>4.6100000000000003</v>
      </c>
      <c r="M66" s="4">
        <v>4.91</v>
      </c>
      <c r="N66" s="4">
        <v>4.7300000000000004</v>
      </c>
    </row>
    <row r="67" spans="1:14" x14ac:dyDescent="0.2">
      <c r="A67" s="3">
        <v>45195</v>
      </c>
      <c r="B67" s="4">
        <v>5.54</v>
      </c>
      <c r="C67" s="4">
        <v>5.58</v>
      </c>
      <c r="D67" s="4">
        <v>5.58</v>
      </c>
      <c r="E67" s="4">
        <v>5.61</v>
      </c>
      <c r="F67" s="4">
        <v>5.53</v>
      </c>
      <c r="G67" s="4">
        <v>5.45</v>
      </c>
      <c r="H67" s="4">
        <v>5.04</v>
      </c>
      <c r="I67" s="4">
        <v>4.84</v>
      </c>
      <c r="J67" s="4">
        <v>4.62</v>
      </c>
      <c r="K67" s="4">
        <v>4.62</v>
      </c>
      <c r="L67" s="4">
        <v>4.5599999999999996</v>
      </c>
      <c r="M67" s="4">
        <v>4.8600000000000003</v>
      </c>
      <c r="N67" s="4">
        <v>4.7</v>
      </c>
    </row>
    <row r="68" spans="1:14" x14ac:dyDescent="0.2">
      <c r="A68" s="3">
        <v>45194</v>
      </c>
      <c r="B68" s="4">
        <v>5.54</v>
      </c>
      <c r="C68" s="4">
        <v>5.58</v>
      </c>
      <c r="D68" s="4">
        <v>5.58</v>
      </c>
      <c r="E68" s="4">
        <v>5.6</v>
      </c>
      <c r="F68" s="4">
        <v>5.52</v>
      </c>
      <c r="G68" s="4">
        <v>5.45</v>
      </c>
      <c r="H68" s="4">
        <v>5.09</v>
      </c>
      <c r="I68" s="4">
        <v>4.83</v>
      </c>
      <c r="J68" s="4">
        <v>4.62</v>
      </c>
      <c r="K68" s="4">
        <v>4.6100000000000003</v>
      </c>
      <c r="L68" s="4">
        <v>4.55</v>
      </c>
      <c r="M68" s="4">
        <v>4.84</v>
      </c>
      <c r="N68" s="4">
        <v>4.67</v>
      </c>
    </row>
    <row r="69" spans="1:14" x14ac:dyDescent="0.2">
      <c r="A69" s="3">
        <v>45191</v>
      </c>
      <c r="B69" s="4">
        <v>5.52</v>
      </c>
      <c r="C69" s="4">
        <v>5.58</v>
      </c>
      <c r="D69" s="4">
        <v>5.56</v>
      </c>
      <c r="E69" s="4">
        <v>5.61</v>
      </c>
      <c r="F69" s="4">
        <v>5.52</v>
      </c>
      <c r="G69" s="4">
        <v>5.46</v>
      </c>
      <c r="H69" s="4">
        <v>5.0999999999999996</v>
      </c>
      <c r="I69" s="4">
        <v>4.8</v>
      </c>
      <c r="J69" s="4">
        <v>4.57</v>
      </c>
      <c r="K69" s="4">
        <v>4.53</v>
      </c>
      <c r="L69" s="4">
        <v>4.4400000000000004</v>
      </c>
      <c r="M69" s="4">
        <v>4.7</v>
      </c>
      <c r="N69" s="4">
        <v>4.53</v>
      </c>
    </row>
    <row r="70" spans="1:14" x14ac:dyDescent="0.2">
      <c r="A70" s="3">
        <v>45190</v>
      </c>
      <c r="B70" s="4">
        <v>5.52</v>
      </c>
      <c r="C70" s="4">
        <v>5.57</v>
      </c>
      <c r="D70" s="4">
        <v>5.57</v>
      </c>
      <c r="E70" s="4">
        <v>5.61</v>
      </c>
      <c r="F70" s="4">
        <v>5.52</v>
      </c>
      <c r="G70" s="4">
        <v>5.46</v>
      </c>
      <c r="H70" s="4">
        <v>5.12</v>
      </c>
      <c r="I70" s="4">
        <v>4.8499999999999996</v>
      </c>
      <c r="J70" s="4">
        <v>4.6100000000000003</v>
      </c>
      <c r="K70" s="4">
        <v>4.57</v>
      </c>
      <c r="L70" s="4">
        <v>4.49</v>
      </c>
      <c r="M70" s="4">
        <v>4.74</v>
      </c>
      <c r="N70" s="4">
        <v>4.5599999999999996</v>
      </c>
    </row>
    <row r="71" spans="1:14" x14ac:dyDescent="0.2">
      <c r="A71" s="3">
        <v>45189</v>
      </c>
      <c r="B71" s="4">
        <v>5.53</v>
      </c>
      <c r="C71" s="4">
        <v>5.57</v>
      </c>
      <c r="D71" s="4">
        <v>5.56</v>
      </c>
      <c r="E71" s="4">
        <v>5.61</v>
      </c>
      <c r="F71" s="4">
        <v>5.51</v>
      </c>
      <c r="G71" s="4">
        <v>5.47</v>
      </c>
      <c r="H71" s="4">
        <v>5.12</v>
      </c>
      <c r="I71" s="4">
        <v>4.82</v>
      </c>
      <c r="J71" s="4">
        <v>4.5199999999999996</v>
      </c>
      <c r="K71" s="4">
        <v>4.46</v>
      </c>
      <c r="L71" s="4">
        <v>4.3499999999999996</v>
      </c>
      <c r="M71" s="4">
        <v>4.57</v>
      </c>
      <c r="N71" s="4">
        <v>4.4000000000000004</v>
      </c>
    </row>
    <row r="72" spans="1:14" x14ac:dyDescent="0.2">
      <c r="A72" s="3">
        <v>45188</v>
      </c>
      <c r="B72" s="4">
        <v>5.53</v>
      </c>
      <c r="C72" s="4">
        <v>5.56</v>
      </c>
      <c r="D72" s="4">
        <v>5.54</v>
      </c>
      <c r="E72" s="4">
        <v>5.59</v>
      </c>
      <c r="F72" s="4">
        <v>5.51</v>
      </c>
      <c r="G72" s="4">
        <v>5.45</v>
      </c>
      <c r="H72" s="4">
        <v>5.08</v>
      </c>
      <c r="I72" s="4">
        <v>4.79</v>
      </c>
      <c r="J72" s="4">
        <v>4.51</v>
      </c>
      <c r="K72" s="4">
        <v>4.47</v>
      </c>
      <c r="L72" s="4">
        <v>4.37</v>
      </c>
      <c r="M72" s="4">
        <v>4.5999999999999996</v>
      </c>
      <c r="N72" s="4">
        <v>4.43</v>
      </c>
    </row>
    <row r="73" spans="1:14" x14ac:dyDescent="0.2">
      <c r="A73" s="3">
        <v>45187</v>
      </c>
      <c r="B73" s="4">
        <v>5.53</v>
      </c>
      <c r="C73" s="4">
        <v>5.56</v>
      </c>
      <c r="D73" s="4">
        <v>5.55</v>
      </c>
      <c r="E73" s="4">
        <v>5.6</v>
      </c>
      <c r="F73" s="4">
        <v>5.51</v>
      </c>
      <c r="G73" s="4">
        <v>5.44</v>
      </c>
      <c r="H73" s="4">
        <v>5.05</v>
      </c>
      <c r="I73" s="4">
        <v>4.74</v>
      </c>
      <c r="J73" s="4">
        <v>4.46</v>
      </c>
      <c r="K73" s="4">
        <v>4.41</v>
      </c>
      <c r="L73" s="4">
        <v>4.32</v>
      </c>
      <c r="M73" s="4">
        <v>4.57</v>
      </c>
      <c r="N73" s="4">
        <v>4.4000000000000004</v>
      </c>
    </row>
    <row r="74" spans="1:14" x14ac:dyDescent="0.2">
      <c r="A74" s="3">
        <v>45184</v>
      </c>
      <c r="B74" s="4">
        <v>5.51</v>
      </c>
      <c r="C74" s="4">
        <v>5.56</v>
      </c>
      <c r="D74" s="4">
        <v>5.56</v>
      </c>
      <c r="E74" s="4">
        <v>5.6</v>
      </c>
      <c r="F74" s="4">
        <v>5.49</v>
      </c>
      <c r="G74" s="4">
        <v>5.43</v>
      </c>
      <c r="H74" s="4">
        <v>5.0199999999999996</v>
      </c>
      <c r="I74" s="4">
        <v>4.72</v>
      </c>
      <c r="J74" s="4">
        <v>4.45</v>
      </c>
      <c r="K74" s="4">
        <v>4.41</v>
      </c>
      <c r="L74" s="4">
        <v>4.33</v>
      </c>
      <c r="M74" s="4">
        <v>4.59</v>
      </c>
      <c r="N74" s="4">
        <v>4.42</v>
      </c>
    </row>
    <row r="75" spans="1:14" x14ac:dyDescent="0.2">
      <c r="A75" s="3">
        <v>45183</v>
      </c>
      <c r="B75" s="4">
        <v>5.52</v>
      </c>
      <c r="C75" s="4">
        <v>5.57</v>
      </c>
      <c r="D75" s="4">
        <v>5.55</v>
      </c>
      <c r="E75" s="4">
        <v>5.59</v>
      </c>
      <c r="F75" s="4">
        <v>5.5</v>
      </c>
      <c r="G75" s="4">
        <v>5.42</v>
      </c>
      <c r="H75" s="4">
        <v>5</v>
      </c>
      <c r="I75" s="4">
        <v>4.68</v>
      </c>
      <c r="J75" s="4">
        <v>4.42</v>
      </c>
      <c r="K75" s="4">
        <v>4.38</v>
      </c>
      <c r="L75" s="4">
        <v>4.29</v>
      </c>
      <c r="M75" s="4">
        <v>4.57</v>
      </c>
      <c r="N75" s="4">
        <v>4.3899999999999997</v>
      </c>
    </row>
    <row r="76" spans="1:14" x14ac:dyDescent="0.2">
      <c r="A76" s="3">
        <v>45182</v>
      </c>
      <c r="B76" s="4">
        <v>5.53</v>
      </c>
      <c r="C76" s="4">
        <v>5.56</v>
      </c>
      <c r="D76" s="4">
        <v>5.55</v>
      </c>
      <c r="E76" s="4">
        <v>5.6</v>
      </c>
      <c r="F76" s="4">
        <v>5.51</v>
      </c>
      <c r="G76" s="4">
        <v>5.42</v>
      </c>
      <c r="H76" s="4">
        <v>4.96</v>
      </c>
      <c r="I76" s="4">
        <v>4.6399999999999997</v>
      </c>
      <c r="J76" s="4">
        <v>4.3899999999999997</v>
      </c>
      <c r="K76" s="4">
        <v>4.34</v>
      </c>
      <c r="L76" s="4">
        <v>4.25</v>
      </c>
      <c r="M76" s="4">
        <v>4.5199999999999996</v>
      </c>
      <c r="N76" s="4">
        <v>4.34</v>
      </c>
    </row>
    <row r="77" spans="1:14" x14ac:dyDescent="0.2">
      <c r="A77" s="3">
        <v>45181</v>
      </c>
      <c r="B77" s="4">
        <v>5.52</v>
      </c>
      <c r="C77" s="4">
        <v>5.56</v>
      </c>
      <c r="D77" s="4">
        <v>5.56</v>
      </c>
      <c r="E77" s="4">
        <v>5.58</v>
      </c>
      <c r="F77" s="4">
        <v>5.53</v>
      </c>
      <c r="G77" s="4">
        <v>5.42</v>
      </c>
      <c r="H77" s="4">
        <v>4.9800000000000004</v>
      </c>
      <c r="I77" s="4">
        <v>4.66</v>
      </c>
      <c r="J77" s="4">
        <v>4.41</v>
      </c>
      <c r="K77" s="4">
        <v>4.3600000000000003</v>
      </c>
      <c r="L77" s="4">
        <v>4.2699999999999996</v>
      </c>
      <c r="M77" s="4">
        <v>4.54</v>
      </c>
      <c r="N77" s="4">
        <v>4.3499999999999996</v>
      </c>
    </row>
    <row r="78" spans="1:14" x14ac:dyDescent="0.2">
      <c r="A78" s="3">
        <v>45180</v>
      </c>
      <c r="B78" s="4">
        <v>5.52</v>
      </c>
      <c r="C78" s="4">
        <v>5.56</v>
      </c>
      <c r="D78" s="4">
        <v>5.55</v>
      </c>
      <c r="E78" s="4">
        <v>5.58</v>
      </c>
      <c r="F78" s="4">
        <v>5.51</v>
      </c>
      <c r="G78" s="4">
        <v>5.4</v>
      </c>
      <c r="H78" s="4">
        <v>4.97</v>
      </c>
      <c r="I78" s="4">
        <v>4.6399999999999997</v>
      </c>
      <c r="J78" s="4">
        <v>4.4000000000000004</v>
      </c>
      <c r="K78" s="4">
        <v>4.37</v>
      </c>
      <c r="L78" s="4">
        <v>4.29</v>
      </c>
      <c r="M78" s="4">
        <v>4.5599999999999996</v>
      </c>
      <c r="N78" s="4">
        <v>4.37</v>
      </c>
    </row>
    <row r="79" spans="1:14" x14ac:dyDescent="0.2">
      <c r="A79" s="3">
        <v>45177</v>
      </c>
      <c r="B79" s="4">
        <v>5.52</v>
      </c>
      <c r="C79" s="4">
        <v>5.56</v>
      </c>
      <c r="D79" s="4">
        <v>5.55</v>
      </c>
      <c r="E79" s="4">
        <v>5.6</v>
      </c>
      <c r="F79" s="4">
        <v>5.49</v>
      </c>
      <c r="G79" s="4">
        <v>5.42</v>
      </c>
      <c r="H79" s="4">
        <v>4.9800000000000004</v>
      </c>
      <c r="I79" s="4">
        <v>4.68</v>
      </c>
      <c r="J79" s="4">
        <v>4.3899999999999997</v>
      </c>
      <c r="K79" s="4">
        <v>4.3499999999999996</v>
      </c>
      <c r="L79" s="4">
        <v>4.26</v>
      </c>
      <c r="M79" s="4">
        <v>4.5199999999999996</v>
      </c>
      <c r="N79" s="4">
        <v>4.33</v>
      </c>
    </row>
    <row r="80" spans="1:14" x14ac:dyDescent="0.2">
      <c r="A80" s="3">
        <v>45176</v>
      </c>
      <c r="B80" s="4">
        <v>5.52</v>
      </c>
      <c r="C80" s="4">
        <v>5.56</v>
      </c>
      <c r="D80" s="4">
        <v>5.53</v>
      </c>
      <c r="E80" s="4">
        <v>5.59</v>
      </c>
      <c r="F80" s="4">
        <v>5.5</v>
      </c>
      <c r="G80" s="4">
        <v>5.4</v>
      </c>
      <c r="H80" s="4">
        <v>4.9400000000000004</v>
      </c>
      <c r="I80" s="4">
        <v>4.66</v>
      </c>
      <c r="J80" s="4">
        <v>4.38</v>
      </c>
      <c r="K80" s="4">
        <v>4.3499999999999996</v>
      </c>
      <c r="L80" s="4">
        <v>4.2699999999999996</v>
      </c>
      <c r="M80" s="4">
        <v>4.55</v>
      </c>
      <c r="N80" s="4">
        <v>4.3600000000000003</v>
      </c>
    </row>
    <row r="81" spans="1:14" x14ac:dyDescent="0.2">
      <c r="A81" s="3">
        <v>45175</v>
      </c>
      <c r="B81" s="4">
        <v>5.52</v>
      </c>
      <c r="C81" s="4">
        <v>5.55</v>
      </c>
      <c r="D81" s="4">
        <v>5.55</v>
      </c>
      <c r="E81" s="4">
        <v>5.6</v>
      </c>
      <c r="F81" s="4">
        <v>5.52</v>
      </c>
      <c r="G81" s="4">
        <v>5.44</v>
      </c>
      <c r="H81" s="4">
        <v>5.01</v>
      </c>
      <c r="I81" s="4">
        <v>4.7300000000000004</v>
      </c>
      <c r="J81" s="4">
        <v>4.4400000000000004</v>
      </c>
      <c r="K81" s="4">
        <v>4.3899999999999997</v>
      </c>
      <c r="L81" s="4">
        <v>4.3</v>
      </c>
      <c r="M81" s="4">
        <v>4.5599999999999996</v>
      </c>
      <c r="N81" s="4">
        <v>4.37</v>
      </c>
    </row>
    <row r="82" spans="1:14" x14ac:dyDescent="0.2">
      <c r="A82" s="3">
        <v>45174</v>
      </c>
      <c r="B82" s="4">
        <v>5.51</v>
      </c>
      <c r="C82" s="4">
        <v>5.56</v>
      </c>
      <c r="D82" s="4">
        <v>5.55</v>
      </c>
      <c r="E82" s="4">
        <v>5.59</v>
      </c>
      <c r="F82" s="4">
        <v>5.51</v>
      </c>
      <c r="G82" s="4">
        <v>5.42</v>
      </c>
      <c r="H82" s="4">
        <v>4.9400000000000004</v>
      </c>
      <c r="I82" s="4">
        <v>4.6500000000000004</v>
      </c>
      <c r="J82" s="4">
        <v>4.37</v>
      </c>
      <c r="K82" s="4">
        <v>4.3499999999999996</v>
      </c>
      <c r="L82" s="4">
        <v>4.2699999999999996</v>
      </c>
      <c r="M82" s="4">
        <v>4.5599999999999996</v>
      </c>
      <c r="N82" s="4">
        <v>4.38</v>
      </c>
    </row>
    <row r="83" spans="1:14" x14ac:dyDescent="0.2">
      <c r="A83" s="3">
        <v>45170</v>
      </c>
      <c r="B83" s="4">
        <v>5.51</v>
      </c>
      <c r="C83" s="4">
        <v>5.55</v>
      </c>
      <c r="D83" s="4">
        <v>5.53</v>
      </c>
      <c r="E83" s="4">
        <v>5.58</v>
      </c>
      <c r="F83" s="4">
        <v>5.47</v>
      </c>
      <c r="G83" s="4">
        <v>5.36</v>
      </c>
      <c r="H83" s="4">
        <v>4.87</v>
      </c>
      <c r="I83" s="4">
        <v>4.57</v>
      </c>
      <c r="J83" s="4">
        <v>4.29</v>
      </c>
      <c r="K83" s="4">
        <v>4.2699999999999996</v>
      </c>
      <c r="L83" s="4">
        <v>4.18</v>
      </c>
      <c r="M83" s="4">
        <v>4.4800000000000004</v>
      </c>
      <c r="N83" s="4">
        <v>4.29</v>
      </c>
    </row>
    <row r="84" spans="1:14" x14ac:dyDescent="0.2">
      <c r="A84" s="3">
        <v>45169</v>
      </c>
      <c r="B84" s="4">
        <v>5.52</v>
      </c>
      <c r="C84" s="4">
        <v>5.55</v>
      </c>
      <c r="D84" s="4">
        <v>5.56</v>
      </c>
      <c r="E84" s="4">
        <v>5.61</v>
      </c>
      <c r="F84" s="4">
        <v>5.48</v>
      </c>
      <c r="G84" s="4">
        <v>5.37</v>
      </c>
      <c r="H84" s="4">
        <v>4.8499999999999996</v>
      </c>
      <c r="I84" s="4">
        <v>4.54</v>
      </c>
      <c r="J84" s="4">
        <v>4.2300000000000004</v>
      </c>
      <c r="K84" s="4">
        <v>4.1900000000000004</v>
      </c>
      <c r="L84" s="4">
        <v>4.09</v>
      </c>
      <c r="M84" s="4">
        <v>4.3899999999999997</v>
      </c>
      <c r="N84" s="4">
        <v>4.2</v>
      </c>
    </row>
    <row r="85" spans="1:14" x14ac:dyDescent="0.2">
      <c r="A85" s="3">
        <v>45168</v>
      </c>
      <c r="B85" s="4">
        <v>5.55</v>
      </c>
      <c r="C85" s="4">
        <v>5.53</v>
      </c>
      <c r="D85" s="4">
        <v>5.56</v>
      </c>
      <c r="E85" s="4">
        <v>5.6</v>
      </c>
      <c r="F85" s="4">
        <v>5.51</v>
      </c>
      <c r="G85" s="4">
        <v>5.39</v>
      </c>
      <c r="H85" s="4">
        <v>4.9000000000000004</v>
      </c>
      <c r="I85" s="4">
        <v>4.57</v>
      </c>
      <c r="J85" s="4">
        <v>4.2699999999999996</v>
      </c>
      <c r="K85" s="4">
        <v>4.22</v>
      </c>
      <c r="L85" s="4">
        <v>4.12</v>
      </c>
      <c r="M85" s="4">
        <v>4.42</v>
      </c>
      <c r="N85" s="4">
        <v>4.2300000000000004</v>
      </c>
    </row>
    <row r="86" spans="1:14" x14ac:dyDescent="0.2">
      <c r="A86" s="3">
        <v>45167</v>
      </c>
      <c r="B86" s="4">
        <v>5.54</v>
      </c>
      <c r="C86" s="4">
        <v>5.53</v>
      </c>
      <c r="D86" s="4">
        <v>5.56</v>
      </c>
      <c r="E86" s="4">
        <v>5.57</v>
      </c>
      <c r="F86" s="4">
        <v>5.52</v>
      </c>
      <c r="G86" s="4">
        <v>5.37</v>
      </c>
      <c r="H86" s="4">
        <v>4.87</v>
      </c>
      <c r="I86" s="4">
        <v>4.5599999999999996</v>
      </c>
      <c r="J86" s="4">
        <v>4.26</v>
      </c>
      <c r="K86" s="4">
        <v>4.21</v>
      </c>
      <c r="L86" s="4">
        <v>4.12</v>
      </c>
      <c r="M86" s="4">
        <v>4.42</v>
      </c>
      <c r="N86" s="4">
        <v>4.2300000000000004</v>
      </c>
    </row>
    <row r="87" spans="1:14" x14ac:dyDescent="0.2">
      <c r="A87" s="3">
        <v>45166</v>
      </c>
      <c r="B87" s="4">
        <v>5.56</v>
      </c>
      <c r="C87" s="4">
        <v>5.53</v>
      </c>
      <c r="D87" s="4">
        <v>5.58</v>
      </c>
      <c r="E87" s="4">
        <v>5.6</v>
      </c>
      <c r="F87" s="4">
        <v>5.56</v>
      </c>
      <c r="G87" s="4">
        <v>5.44</v>
      </c>
      <c r="H87" s="4">
        <v>4.9800000000000004</v>
      </c>
      <c r="I87" s="4">
        <v>4.6900000000000004</v>
      </c>
      <c r="J87" s="4">
        <v>4.38</v>
      </c>
      <c r="K87" s="4">
        <v>4.32</v>
      </c>
      <c r="L87" s="4">
        <v>4.2</v>
      </c>
      <c r="M87" s="4">
        <v>4.4800000000000004</v>
      </c>
      <c r="N87" s="4">
        <v>4.29</v>
      </c>
    </row>
    <row r="88" spans="1:14" x14ac:dyDescent="0.2">
      <c r="A88" s="3">
        <v>45163</v>
      </c>
      <c r="B88" s="4">
        <v>5.56</v>
      </c>
      <c r="C88" s="4">
        <v>5.53</v>
      </c>
      <c r="D88" s="4">
        <v>5.61</v>
      </c>
      <c r="E88" s="4">
        <v>5.59</v>
      </c>
      <c r="F88" s="4">
        <v>5.61</v>
      </c>
      <c r="G88" s="4">
        <v>5.44</v>
      </c>
      <c r="H88" s="4">
        <v>5.03</v>
      </c>
      <c r="I88" s="4">
        <v>4.72</v>
      </c>
      <c r="J88" s="4">
        <v>4.4400000000000004</v>
      </c>
      <c r="K88" s="4">
        <v>4.37</v>
      </c>
      <c r="L88" s="4">
        <v>4.25</v>
      </c>
      <c r="M88" s="4">
        <v>4.5</v>
      </c>
      <c r="N88" s="4">
        <v>4.3</v>
      </c>
    </row>
    <row r="89" spans="1:14" x14ac:dyDescent="0.2">
      <c r="A89" s="3">
        <v>45162</v>
      </c>
      <c r="B89" s="4">
        <v>5.55</v>
      </c>
      <c r="C89" s="4">
        <v>5.53</v>
      </c>
      <c r="D89" s="4">
        <v>5.58</v>
      </c>
      <c r="E89" s="4">
        <v>5.57</v>
      </c>
      <c r="F89" s="4">
        <v>5.59</v>
      </c>
      <c r="G89" s="4">
        <v>5.39</v>
      </c>
      <c r="H89" s="4">
        <v>4.9800000000000004</v>
      </c>
      <c r="I89" s="4">
        <v>4.6900000000000004</v>
      </c>
      <c r="J89" s="4">
        <v>4.3899999999999997</v>
      </c>
      <c r="K89" s="4">
        <v>4.34</v>
      </c>
      <c r="L89" s="4">
        <v>4.2300000000000004</v>
      </c>
      <c r="M89" s="4">
        <v>4.49</v>
      </c>
      <c r="N89" s="4">
        <v>4.3</v>
      </c>
    </row>
    <row r="90" spans="1:14" x14ac:dyDescent="0.2">
      <c r="A90" s="3">
        <v>45161</v>
      </c>
      <c r="B90" s="4">
        <v>5.54</v>
      </c>
      <c r="C90" s="4">
        <v>5.53</v>
      </c>
      <c r="D90" s="4">
        <v>5.57</v>
      </c>
      <c r="E90" s="4">
        <v>5.56</v>
      </c>
      <c r="F90" s="4">
        <v>5.55</v>
      </c>
      <c r="G90" s="4">
        <v>5.35</v>
      </c>
      <c r="H90" s="4">
        <v>4.95</v>
      </c>
      <c r="I90" s="4">
        <v>4.6399999999999997</v>
      </c>
      <c r="J90" s="4">
        <v>4.3600000000000003</v>
      </c>
      <c r="K90" s="4">
        <v>4.3</v>
      </c>
      <c r="L90" s="4">
        <v>4.1900000000000004</v>
      </c>
      <c r="M90" s="4">
        <v>4.46</v>
      </c>
      <c r="N90" s="4">
        <v>4.2699999999999996</v>
      </c>
    </row>
    <row r="91" spans="1:14" x14ac:dyDescent="0.2">
      <c r="A91" s="3">
        <v>45160</v>
      </c>
      <c r="B91" s="4">
        <v>5.54</v>
      </c>
      <c r="C91" s="4">
        <v>5.53</v>
      </c>
      <c r="D91" s="4">
        <v>5.57</v>
      </c>
      <c r="E91" s="4">
        <v>5.55</v>
      </c>
      <c r="F91" s="4">
        <v>5.57</v>
      </c>
      <c r="G91" s="4">
        <v>5.39</v>
      </c>
      <c r="H91" s="4">
        <v>5.0199999999999996</v>
      </c>
      <c r="I91" s="4">
        <v>4.75</v>
      </c>
      <c r="J91" s="4">
        <v>4.49</v>
      </c>
      <c r="K91" s="4">
        <v>4.4400000000000004</v>
      </c>
      <c r="L91" s="4">
        <v>4.34</v>
      </c>
      <c r="M91" s="4">
        <v>4.6100000000000003</v>
      </c>
      <c r="N91" s="4">
        <v>4.42</v>
      </c>
    </row>
    <row r="92" spans="1:14" x14ac:dyDescent="0.2">
      <c r="A92" s="3">
        <v>45159</v>
      </c>
      <c r="B92" s="4">
        <v>5.55</v>
      </c>
      <c r="C92" s="4">
        <v>5.53</v>
      </c>
      <c r="D92" s="4">
        <v>5.57</v>
      </c>
      <c r="E92" s="4">
        <v>5.55</v>
      </c>
      <c r="F92" s="4">
        <v>5.58</v>
      </c>
      <c r="G92" s="4">
        <v>5.37</v>
      </c>
      <c r="H92" s="4">
        <v>4.97</v>
      </c>
      <c r="I92" s="4">
        <v>4.7</v>
      </c>
      <c r="J92" s="4">
        <v>4.46</v>
      </c>
      <c r="K92" s="4">
        <v>4.42</v>
      </c>
      <c r="L92" s="4">
        <v>4.34</v>
      </c>
      <c r="M92" s="4">
        <v>4.6399999999999997</v>
      </c>
      <c r="N92" s="4">
        <v>4.45</v>
      </c>
    </row>
    <row r="93" spans="1:14" x14ac:dyDescent="0.2">
      <c r="A93" s="3">
        <v>45156</v>
      </c>
      <c r="B93" s="4">
        <v>5.53</v>
      </c>
      <c r="C93" s="4">
        <v>5.52</v>
      </c>
      <c r="D93" s="4">
        <v>5.55</v>
      </c>
      <c r="E93" s="4">
        <v>5.54</v>
      </c>
      <c r="F93" s="4">
        <v>5.52</v>
      </c>
      <c r="G93" s="4">
        <v>5.35</v>
      </c>
      <c r="H93" s="4">
        <v>4.92</v>
      </c>
      <c r="I93" s="4">
        <v>4.63</v>
      </c>
      <c r="J93" s="4">
        <v>4.38</v>
      </c>
      <c r="K93" s="4">
        <v>4.34</v>
      </c>
      <c r="L93" s="4">
        <v>4.26</v>
      </c>
      <c r="M93" s="4">
        <v>4.55</v>
      </c>
      <c r="N93" s="4">
        <v>4.38</v>
      </c>
    </row>
    <row r="94" spans="1:14" x14ac:dyDescent="0.2">
      <c r="A94" s="3">
        <v>45155</v>
      </c>
      <c r="B94" s="4">
        <v>5.55</v>
      </c>
      <c r="C94" s="4">
        <v>5.52</v>
      </c>
      <c r="D94" s="4">
        <v>5.56</v>
      </c>
      <c r="E94" s="4">
        <v>5.54</v>
      </c>
      <c r="F94" s="4">
        <v>5.53</v>
      </c>
      <c r="G94" s="4">
        <v>5.36</v>
      </c>
      <c r="H94" s="4">
        <v>4.9400000000000004</v>
      </c>
      <c r="I94" s="4">
        <v>4.67</v>
      </c>
      <c r="J94" s="4">
        <v>4.42</v>
      </c>
      <c r="K94" s="4">
        <v>4.38</v>
      </c>
      <c r="L94" s="4">
        <v>4.3</v>
      </c>
      <c r="M94" s="4">
        <v>4.58</v>
      </c>
      <c r="N94" s="4">
        <v>4.41</v>
      </c>
    </row>
    <row r="95" spans="1:14" x14ac:dyDescent="0.2">
      <c r="A95" s="3">
        <v>45154</v>
      </c>
      <c r="B95" s="4">
        <v>5.52</v>
      </c>
      <c r="C95" s="4">
        <v>5.53</v>
      </c>
      <c r="D95" s="4">
        <v>5.56</v>
      </c>
      <c r="E95" s="4">
        <v>5.54</v>
      </c>
      <c r="F95" s="4">
        <v>5.54</v>
      </c>
      <c r="G95" s="4">
        <v>5.37</v>
      </c>
      <c r="H95" s="4">
        <v>4.97</v>
      </c>
      <c r="I95" s="4">
        <v>4.68</v>
      </c>
      <c r="J95" s="4">
        <v>4.42</v>
      </c>
      <c r="K95" s="4">
        <v>4.37</v>
      </c>
      <c r="L95" s="4">
        <v>4.28</v>
      </c>
      <c r="M95" s="4">
        <v>4.55</v>
      </c>
      <c r="N95" s="4">
        <v>4.38</v>
      </c>
    </row>
    <row r="96" spans="1:14" x14ac:dyDescent="0.2">
      <c r="A96" s="3">
        <v>45153</v>
      </c>
      <c r="B96" s="4">
        <v>5.53</v>
      </c>
      <c r="C96" s="4">
        <v>5.52</v>
      </c>
      <c r="D96" s="4">
        <v>5.56</v>
      </c>
      <c r="E96" s="4">
        <v>5.51</v>
      </c>
      <c r="F96" s="4">
        <v>5.55</v>
      </c>
      <c r="G96" s="4">
        <v>5.36</v>
      </c>
      <c r="H96" s="4">
        <v>4.92</v>
      </c>
      <c r="I96" s="4">
        <v>4.6399999999999997</v>
      </c>
      <c r="J96" s="4">
        <v>4.3600000000000003</v>
      </c>
      <c r="K96" s="4">
        <v>4.3099999999999996</v>
      </c>
      <c r="L96" s="4">
        <v>4.21</v>
      </c>
      <c r="M96" s="4">
        <v>4.49</v>
      </c>
      <c r="N96" s="4">
        <v>4.32</v>
      </c>
    </row>
    <row r="97" spans="1:14" x14ac:dyDescent="0.2">
      <c r="A97" s="3">
        <v>45152</v>
      </c>
      <c r="B97" s="4">
        <v>5.55</v>
      </c>
      <c r="C97" s="4">
        <v>5.52</v>
      </c>
      <c r="D97" s="4">
        <v>5.56</v>
      </c>
      <c r="E97" s="4">
        <v>5.53</v>
      </c>
      <c r="F97" s="4">
        <v>5.56</v>
      </c>
      <c r="G97" s="4">
        <v>5.37</v>
      </c>
      <c r="H97" s="4">
        <v>4.96</v>
      </c>
      <c r="I97" s="4">
        <v>4.6399999999999997</v>
      </c>
      <c r="J97" s="4">
        <v>4.3600000000000003</v>
      </c>
      <c r="K97" s="4">
        <v>4.29</v>
      </c>
      <c r="L97" s="4">
        <v>4.1900000000000004</v>
      </c>
      <c r="M97" s="4">
        <v>4.46</v>
      </c>
      <c r="N97" s="4">
        <v>4.29</v>
      </c>
    </row>
    <row r="98" spans="1:14" x14ac:dyDescent="0.2">
      <c r="A98" s="3">
        <v>45149</v>
      </c>
      <c r="B98" s="4">
        <v>5.54</v>
      </c>
      <c r="C98" s="4">
        <v>5.51</v>
      </c>
      <c r="D98" s="4">
        <v>5.54</v>
      </c>
      <c r="E98" s="4">
        <v>5.54</v>
      </c>
      <c r="F98" s="4">
        <v>5.52</v>
      </c>
      <c r="G98" s="4">
        <v>5.36</v>
      </c>
      <c r="H98" s="4">
        <v>4.8899999999999997</v>
      </c>
      <c r="I98" s="4">
        <v>4.5599999999999996</v>
      </c>
      <c r="J98" s="4">
        <v>4.3099999999999996</v>
      </c>
      <c r="K98" s="4">
        <v>4.26</v>
      </c>
      <c r="L98" s="4">
        <v>4.16</v>
      </c>
      <c r="M98" s="4">
        <v>4.45</v>
      </c>
      <c r="N98" s="4">
        <v>4.2699999999999996</v>
      </c>
    </row>
    <row r="99" spans="1:14" x14ac:dyDescent="0.2">
      <c r="A99" s="3">
        <v>45148</v>
      </c>
      <c r="B99" s="4">
        <v>5.55</v>
      </c>
      <c r="C99" s="4">
        <v>5.52</v>
      </c>
      <c r="D99" s="4">
        <v>5.54</v>
      </c>
      <c r="E99" s="4">
        <v>5.53</v>
      </c>
      <c r="F99" s="4">
        <v>5.52</v>
      </c>
      <c r="G99" s="4">
        <v>5.33</v>
      </c>
      <c r="H99" s="4">
        <v>4.82</v>
      </c>
      <c r="I99" s="4">
        <v>4.47</v>
      </c>
      <c r="J99" s="4">
        <v>4.21</v>
      </c>
      <c r="K99" s="4">
        <v>4.17</v>
      </c>
      <c r="L99" s="4">
        <v>4.09</v>
      </c>
      <c r="M99" s="4">
        <v>4.41</v>
      </c>
      <c r="N99" s="4">
        <v>4.24</v>
      </c>
    </row>
    <row r="100" spans="1:14" x14ac:dyDescent="0.2">
      <c r="A100" s="3">
        <v>45147</v>
      </c>
      <c r="B100" s="4">
        <v>5.51</v>
      </c>
      <c r="C100" s="4">
        <v>5.52</v>
      </c>
      <c r="D100" s="4">
        <v>5.55</v>
      </c>
      <c r="E100" s="4">
        <v>5.34</v>
      </c>
      <c r="F100" s="4">
        <v>5.54</v>
      </c>
      <c r="G100" s="4">
        <v>5.35</v>
      </c>
      <c r="H100" s="4">
        <v>4.79</v>
      </c>
      <c r="I100" s="4">
        <v>4.41</v>
      </c>
      <c r="J100" s="4">
        <v>4.12</v>
      </c>
      <c r="K100" s="4">
        <v>4.07</v>
      </c>
      <c r="L100" s="4">
        <v>4</v>
      </c>
      <c r="M100" s="4">
        <v>4.33</v>
      </c>
      <c r="N100" s="4">
        <v>4.18</v>
      </c>
    </row>
    <row r="101" spans="1:14" x14ac:dyDescent="0.2">
      <c r="A101" s="3">
        <v>45146</v>
      </c>
      <c r="B101" s="4">
        <v>5.54</v>
      </c>
      <c r="C101" s="4">
        <v>5.53</v>
      </c>
      <c r="D101" s="4">
        <v>5.57</v>
      </c>
      <c r="E101" s="4">
        <v>5.52</v>
      </c>
      <c r="F101" s="4">
        <v>5.53</v>
      </c>
      <c r="G101" s="4">
        <v>5.35</v>
      </c>
      <c r="H101" s="4">
        <v>4.74</v>
      </c>
      <c r="I101" s="4">
        <v>4.3600000000000003</v>
      </c>
      <c r="J101" s="4">
        <v>4.0999999999999996</v>
      </c>
      <c r="K101" s="4">
        <v>4.0599999999999996</v>
      </c>
      <c r="L101" s="4">
        <v>4.0199999999999996</v>
      </c>
      <c r="M101" s="4">
        <v>4.3499999999999996</v>
      </c>
      <c r="N101" s="4">
        <v>4.2</v>
      </c>
    </row>
    <row r="102" spans="1:14" x14ac:dyDescent="0.2">
      <c r="A102" s="3">
        <v>45145</v>
      </c>
      <c r="B102" s="4">
        <v>5.54</v>
      </c>
      <c r="C102" s="4">
        <v>5.51</v>
      </c>
      <c r="D102" s="4">
        <v>5.56</v>
      </c>
      <c r="E102" s="4">
        <v>5.53</v>
      </c>
      <c r="F102" s="4">
        <v>5.53</v>
      </c>
      <c r="G102" s="4">
        <v>5.3</v>
      </c>
      <c r="H102" s="4">
        <v>4.76</v>
      </c>
      <c r="I102" s="4">
        <v>4.4400000000000004</v>
      </c>
      <c r="J102" s="4">
        <v>4.16</v>
      </c>
      <c r="K102" s="4">
        <v>4.13</v>
      </c>
      <c r="L102" s="4">
        <v>4.09</v>
      </c>
      <c r="M102" s="4">
        <v>4.42</v>
      </c>
      <c r="N102" s="4">
        <v>4.2699999999999996</v>
      </c>
    </row>
    <row r="103" spans="1:14" x14ac:dyDescent="0.2">
      <c r="A103" s="3">
        <v>45142</v>
      </c>
      <c r="B103" s="4">
        <v>5.54</v>
      </c>
      <c r="C103" s="4">
        <v>5.51</v>
      </c>
      <c r="D103" s="4">
        <v>5.54</v>
      </c>
      <c r="E103" s="4">
        <v>5.52</v>
      </c>
      <c r="F103" s="4">
        <v>5.5</v>
      </c>
      <c r="G103" s="4">
        <v>5.33</v>
      </c>
      <c r="H103" s="4">
        <v>4.78</v>
      </c>
      <c r="I103" s="4">
        <v>4.45</v>
      </c>
      <c r="J103" s="4">
        <v>4.1500000000000004</v>
      </c>
      <c r="K103" s="4">
        <v>4.0999999999999996</v>
      </c>
      <c r="L103" s="4">
        <v>4.05</v>
      </c>
      <c r="M103" s="4">
        <v>4.3600000000000003</v>
      </c>
      <c r="N103" s="4">
        <v>4.21</v>
      </c>
    </row>
    <row r="104" spans="1:14" x14ac:dyDescent="0.2">
      <c r="A104" s="3">
        <v>45141</v>
      </c>
      <c r="B104" s="4">
        <v>5.54</v>
      </c>
      <c r="C104" s="4">
        <v>5.52</v>
      </c>
      <c r="D104" s="4">
        <v>5.54</v>
      </c>
      <c r="E104" s="4">
        <v>5.53</v>
      </c>
      <c r="F104" s="4">
        <v>5.52</v>
      </c>
      <c r="G104" s="4">
        <v>5.37</v>
      </c>
      <c r="H104" s="4">
        <v>4.9000000000000004</v>
      </c>
      <c r="I104" s="4">
        <v>4.58</v>
      </c>
      <c r="J104" s="4">
        <v>4.3</v>
      </c>
      <c r="K104" s="4">
        <v>4.26</v>
      </c>
      <c r="L104" s="4">
        <v>4.2</v>
      </c>
      <c r="M104" s="4">
        <v>4.49</v>
      </c>
      <c r="N104" s="4">
        <v>4.32</v>
      </c>
    </row>
    <row r="105" spans="1:14" x14ac:dyDescent="0.2">
      <c r="A105" s="3">
        <v>45140</v>
      </c>
      <c r="B105" s="4">
        <v>5.48</v>
      </c>
      <c r="C105" s="4">
        <v>5.53</v>
      </c>
      <c r="D105" s="4">
        <v>5.53</v>
      </c>
      <c r="E105" s="4">
        <v>5.54</v>
      </c>
      <c r="F105" s="4">
        <v>5.52</v>
      </c>
      <c r="G105" s="4">
        <v>5.36</v>
      </c>
      <c r="H105" s="4">
        <v>4.88</v>
      </c>
      <c r="I105" s="4">
        <v>4.54</v>
      </c>
      <c r="J105" s="4">
        <v>4.24</v>
      </c>
      <c r="K105" s="4">
        <v>4.17</v>
      </c>
      <c r="L105" s="4">
        <v>4.08</v>
      </c>
      <c r="M105" s="4">
        <v>4.3499999999999996</v>
      </c>
      <c r="N105" s="4">
        <v>4.17</v>
      </c>
    </row>
    <row r="106" spans="1:14" x14ac:dyDescent="0.2">
      <c r="A106" s="3">
        <v>45139</v>
      </c>
      <c r="B106" s="4">
        <v>5.49</v>
      </c>
      <c r="C106" s="4">
        <v>5.54</v>
      </c>
      <c r="D106" s="4">
        <v>5.54</v>
      </c>
      <c r="E106" s="4">
        <v>5.57</v>
      </c>
      <c r="F106" s="4">
        <v>5.54</v>
      </c>
      <c r="G106" s="4">
        <v>5.38</v>
      </c>
      <c r="H106" s="4">
        <v>4.92</v>
      </c>
      <c r="I106" s="4">
        <v>4.57</v>
      </c>
      <c r="J106" s="4">
        <v>4.24</v>
      </c>
      <c r="K106" s="4">
        <v>4.1500000000000004</v>
      </c>
      <c r="L106" s="4">
        <v>4.05</v>
      </c>
      <c r="M106" s="4">
        <v>4.3</v>
      </c>
      <c r="N106" s="4">
        <v>4.1100000000000003</v>
      </c>
    </row>
    <row r="107" spans="1:14" x14ac:dyDescent="0.2">
      <c r="A107" s="3">
        <v>45138</v>
      </c>
      <c r="B107" s="4">
        <v>5.48</v>
      </c>
      <c r="C107" s="4">
        <v>5.54</v>
      </c>
      <c r="D107" s="4">
        <v>5.55</v>
      </c>
      <c r="E107" s="4">
        <v>5.56</v>
      </c>
      <c r="F107" s="4">
        <v>5.53</v>
      </c>
      <c r="G107" s="4">
        <v>5.37</v>
      </c>
      <c r="H107" s="4">
        <v>4.88</v>
      </c>
      <c r="I107" s="4">
        <v>4.51</v>
      </c>
      <c r="J107" s="4">
        <v>4.18</v>
      </c>
      <c r="K107" s="4">
        <v>4.08</v>
      </c>
      <c r="L107" s="4">
        <v>3.97</v>
      </c>
      <c r="M107" s="4">
        <v>4.22</v>
      </c>
      <c r="N107" s="4">
        <v>4.0199999999999996</v>
      </c>
    </row>
    <row r="108" spans="1:14" x14ac:dyDescent="0.2">
      <c r="A108" s="3">
        <v>45135</v>
      </c>
      <c r="B108" s="4">
        <v>5.47</v>
      </c>
      <c r="C108" s="4">
        <v>5.54</v>
      </c>
      <c r="D108" s="4">
        <v>5.52</v>
      </c>
      <c r="E108" s="4">
        <v>5.57</v>
      </c>
      <c r="F108" s="4">
        <v>5.54</v>
      </c>
      <c r="G108" s="4">
        <v>5.37</v>
      </c>
      <c r="H108" s="4">
        <v>4.87</v>
      </c>
      <c r="I108" s="4">
        <v>4.5199999999999996</v>
      </c>
      <c r="J108" s="4">
        <v>4.18</v>
      </c>
      <c r="K108" s="4">
        <v>4.08</v>
      </c>
      <c r="L108" s="4">
        <v>3.96</v>
      </c>
      <c r="M108" s="4">
        <v>4.22</v>
      </c>
      <c r="N108" s="4">
        <v>4.03</v>
      </c>
    </row>
    <row r="109" spans="1:14" x14ac:dyDescent="0.2">
      <c r="A109" s="3">
        <v>45134</v>
      </c>
      <c r="B109" s="4">
        <v>5.47</v>
      </c>
      <c r="C109" s="4">
        <v>5.55</v>
      </c>
      <c r="D109" s="4">
        <v>5.51</v>
      </c>
      <c r="E109" s="4">
        <v>5.58</v>
      </c>
      <c r="F109" s="4">
        <v>5.56</v>
      </c>
      <c r="G109" s="4">
        <v>5.4</v>
      </c>
      <c r="H109" s="4">
        <v>4.91</v>
      </c>
      <c r="I109" s="4">
        <v>4.58</v>
      </c>
      <c r="J109" s="4">
        <v>4.24</v>
      </c>
      <c r="K109" s="4">
        <v>4.13</v>
      </c>
      <c r="L109" s="4">
        <v>4.01</v>
      </c>
      <c r="M109" s="4">
        <v>4.26</v>
      </c>
      <c r="N109" s="4">
        <v>4.0599999999999996</v>
      </c>
    </row>
    <row r="110" spans="1:14" x14ac:dyDescent="0.2">
      <c r="A110" s="3">
        <v>45133</v>
      </c>
      <c r="B110" s="4">
        <v>5.46</v>
      </c>
      <c r="C110" s="4">
        <v>5.53</v>
      </c>
      <c r="D110" s="4">
        <v>5.51</v>
      </c>
      <c r="E110" s="4">
        <v>5.57</v>
      </c>
      <c r="F110" s="4">
        <v>5.55</v>
      </c>
      <c r="G110" s="4">
        <v>5.37</v>
      </c>
      <c r="H110" s="4">
        <v>4.82</v>
      </c>
      <c r="I110" s="4">
        <v>4.47</v>
      </c>
      <c r="J110" s="4">
        <v>4.09</v>
      </c>
      <c r="K110" s="4">
        <v>3.99</v>
      </c>
      <c r="L110" s="4">
        <v>3.86</v>
      </c>
      <c r="M110" s="4">
        <v>4.12</v>
      </c>
      <c r="N110" s="4">
        <v>3.94</v>
      </c>
    </row>
    <row r="111" spans="1:14" x14ac:dyDescent="0.2">
      <c r="A111" s="3">
        <v>45132</v>
      </c>
      <c r="B111" s="4">
        <v>5.46</v>
      </c>
      <c r="C111" s="4">
        <v>5.54</v>
      </c>
      <c r="D111" s="4">
        <v>5.51</v>
      </c>
      <c r="E111" s="4">
        <v>5.55</v>
      </c>
      <c r="F111" s="4">
        <v>5.57</v>
      </c>
      <c r="G111" s="4">
        <v>5.38</v>
      </c>
      <c r="H111" s="4">
        <v>4.8499999999999996</v>
      </c>
      <c r="I111" s="4">
        <v>4.53</v>
      </c>
      <c r="J111" s="4">
        <v>4.1500000000000004</v>
      </c>
      <c r="K111" s="4">
        <v>4.05</v>
      </c>
      <c r="L111" s="4">
        <v>3.91</v>
      </c>
      <c r="M111" s="4">
        <v>4.1399999999999997</v>
      </c>
      <c r="N111" s="4">
        <v>3.95</v>
      </c>
    </row>
    <row r="112" spans="1:14" x14ac:dyDescent="0.2">
      <c r="A112" s="3">
        <v>45131</v>
      </c>
      <c r="B112" s="4">
        <v>5.44</v>
      </c>
      <c r="C112" s="4">
        <v>5.54</v>
      </c>
      <c r="D112" s="4">
        <v>5.51</v>
      </c>
      <c r="E112" s="4">
        <v>5.55</v>
      </c>
      <c r="F112" s="4">
        <v>5.55</v>
      </c>
      <c r="G112" s="4">
        <v>5.38</v>
      </c>
      <c r="H112" s="4">
        <v>4.8099999999999996</v>
      </c>
      <c r="I112" s="4">
        <v>4.4800000000000004</v>
      </c>
      <c r="J112" s="4">
        <v>4.13</v>
      </c>
      <c r="K112" s="4">
        <v>4</v>
      </c>
      <c r="L112" s="4">
        <v>3.86</v>
      </c>
      <c r="M112" s="4">
        <v>4.1100000000000003</v>
      </c>
      <c r="N112" s="4">
        <v>3.92</v>
      </c>
    </row>
    <row r="113" spans="1:14" x14ac:dyDescent="0.2">
      <c r="A113" s="3">
        <v>45128</v>
      </c>
      <c r="B113" s="4">
        <v>5.43</v>
      </c>
      <c r="C113" s="4">
        <v>5.54</v>
      </c>
      <c r="D113" s="4">
        <v>5.5</v>
      </c>
      <c r="E113" s="4">
        <v>5.54</v>
      </c>
      <c r="F113" s="4">
        <v>5.53</v>
      </c>
      <c r="G113" s="4">
        <v>5.35</v>
      </c>
      <c r="H113" s="4">
        <v>4.82</v>
      </c>
      <c r="I113" s="4">
        <v>4.4400000000000004</v>
      </c>
      <c r="J113" s="4">
        <v>4.09</v>
      </c>
      <c r="K113" s="4">
        <v>3.97</v>
      </c>
      <c r="L113" s="4">
        <v>3.84</v>
      </c>
      <c r="M113" s="4">
        <v>4.0999999999999996</v>
      </c>
      <c r="N113" s="4">
        <v>3.91</v>
      </c>
    </row>
    <row r="114" spans="1:14" x14ac:dyDescent="0.2">
      <c r="A114" s="3">
        <v>45127</v>
      </c>
      <c r="B114" s="4">
        <v>5.44</v>
      </c>
      <c r="C114" s="4">
        <v>5.53</v>
      </c>
      <c r="D114" s="4">
        <v>5.49</v>
      </c>
      <c r="E114" s="4">
        <v>5.54</v>
      </c>
      <c r="F114" s="4">
        <v>5.52</v>
      </c>
      <c r="G114" s="4">
        <v>5.35</v>
      </c>
      <c r="H114" s="4">
        <v>4.8</v>
      </c>
      <c r="I114" s="4">
        <v>4.43</v>
      </c>
      <c r="J114" s="4">
        <v>4.08</v>
      </c>
      <c r="K114" s="4">
        <v>3.98</v>
      </c>
      <c r="L114" s="4">
        <v>3.85</v>
      </c>
      <c r="M114" s="4">
        <v>4.0999999999999996</v>
      </c>
      <c r="N114" s="4">
        <v>3.91</v>
      </c>
    </row>
    <row r="115" spans="1:14" x14ac:dyDescent="0.2">
      <c r="A115" s="3">
        <v>45126</v>
      </c>
      <c r="B115" s="4">
        <v>5.37</v>
      </c>
      <c r="C115" s="4">
        <v>5.51</v>
      </c>
      <c r="D115" s="4">
        <v>5.49</v>
      </c>
      <c r="E115" s="4">
        <v>5.54</v>
      </c>
      <c r="F115" s="4">
        <v>5.51</v>
      </c>
      <c r="G115" s="4">
        <v>5.32</v>
      </c>
      <c r="H115" s="4">
        <v>4.74</v>
      </c>
      <c r="I115" s="4">
        <v>4.34</v>
      </c>
      <c r="J115" s="4">
        <v>3.98</v>
      </c>
      <c r="K115" s="4">
        <v>3.87</v>
      </c>
      <c r="L115" s="4">
        <v>3.75</v>
      </c>
      <c r="M115" s="4">
        <v>4.01</v>
      </c>
      <c r="N115" s="4">
        <v>3.84</v>
      </c>
    </row>
    <row r="116" spans="1:14" x14ac:dyDescent="0.2">
      <c r="A116" s="3">
        <v>45125</v>
      </c>
      <c r="B116" s="4">
        <v>5.37</v>
      </c>
      <c r="C116" s="4">
        <v>5.5</v>
      </c>
      <c r="D116" s="4">
        <v>5.49</v>
      </c>
      <c r="E116" s="4">
        <v>5.53</v>
      </c>
      <c r="F116" s="4">
        <v>5.51</v>
      </c>
      <c r="G116" s="4">
        <v>5.32</v>
      </c>
      <c r="H116" s="4">
        <v>4.74</v>
      </c>
      <c r="I116" s="4">
        <v>4.3499999999999996</v>
      </c>
      <c r="J116" s="4">
        <v>4</v>
      </c>
      <c r="K116" s="4">
        <v>3.9</v>
      </c>
      <c r="L116" s="4">
        <v>3.8</v>
      </c>
      <c r="M116" s="4">
        <v>4.08</v>
      </c>
      <c r="N116" s="4">
        <v>3.91</v>
      </c>
    </row>
    <row r="117" spans="1:14" x14ac:dyDescent="0.2">
      <c r="A117" s="3">
        <v>45124</v>
      </c>
      <c r="B117" s="4">
        <v>5.37</v>
      </c>
      <c r="C117" s="4">
        <v>5.51</v>
      </c>
      <c r="D117" s="4">
        <v>5.49</v>
      </c>
      <c r="E117" s="4">
        <v>5.53</v>
      </c>
      <c r="F117" s="4">
        <v>5.52</v>
      </c>
      <c r="G117" s="4">
        <v>5.33</v>
      </c>
      <c r="H117" s="4">
        <v>4.74</v>
      </c>
      <c r="I117" s="4">
        <v>4.34</v>
      </c>
      <c r="J117" s="4">
        <v>4.0199999999999996</v>
      </c>
      <c r="K117" s="4">
        <v>3.91</v>
      </c>
      <c r="L117" s="4">
        <v>3.81</v>
      </c>
      <c r="M117" s="4">
        <v>4.0999999999999996</v>
      </c>
      <c r="N117" s="4">
        <v>3.94</v>
      </c>
    </row>
    <row r="118" spans="1:14" x14ac:dyDescent="0.2">
      <c r="A118" s="3">
        <v>45121</v>
      </c>
      <c r="B118" s="4">
        <v>5.37</v>
      </c>
      <c r="C118" s="4">
        <v>5.49</v>
      </c>
      <c r="D118" s="4">
        <v>5.49</v>
      </c>
      <c r="E118" s="4">
        <v>5.53</v>
      </c>
      <c r="F118" s="4">
        <v>5.52</v>
      </c>
      <c r="G118" s="4">
        <v>5.34</v>
      </c>
      <c r="H118" s="4">
        <v>4.74</v>
      </c>
      <c r="I118" s="4">
        <v>4.3499999999999996</v>
      </c>
      <c r="J118" s="4">
        <v>4.04</v>
      </c>
      <c r="K118" s="4">
        <v>3.94</v>
      </c>
      <c r="L118" s="4">
        <v>3.83</v>
      </c>
      <c r="M118" s="4">
        <v>4.1100000000000003</v>
      </c>
      <c r="N118" s="4">
        <v>3.93</v>
      </c>
    </row>
    <row r="119" spans="1:14" x14ac:dyDescent="0.2">
      <c r="A119" s="3">
        <v>45120</v>
      </c>
      <c r="B119" s="4">
        <v>5.37</v>
      </c>
      <c r="C119" s="4">
        <v>5.5</v>
      </c>
      <c r="D119" s="4">
        <v>5.47</v>
      </c>
      <c r="E119" s="4">
        <v>5.51</v>
      </c>
      <c r="F119" s="4">
        <v>5.49</v>
      </c>
      <c r="G119" s="4">
        <v>5.27</v>
      </c>
      <c r="H119" s="4">
        <v>4.59</v>
      </c>
      <c r="I119" s="4">
        <v>4.21</v>
      </c>
      <c r="J119" s="4">
        <v>3.93</v>
      </c>
      <c r="K119" s="4">
        <v>3.85</v>
      </c>
      <c r="L119" s="4">
        <v>3.76</v>
      </c>
      <c r="M119" s="4">
        <v>4.07</v>
      </c>
      <c r="N119" s="4">
        <v>3.9</v>
      </c>
    </row>
    <row r="120" spans="1:14" x14ac:dyDescent="0.2">
      <c r="A120" s="3">
        <v>45119</v>
      </c>
      <c r="B120" s="4">
        <v>5.36</v>
      </c>
      <c r="C120" s="4">
        <v>5.49</v>
      </c>
      <c r="D120" s="4">
        <v>5.47</v>
      </c>
      <c r="E120" s="4">
        <v>5.52</v>
      </c>
      <c r="F120" s="4">
        <v>5.53</v>
      </c>
      <c r="G120" s="4">
        <v>5.35</v>
      </c>
      <c r="H120" s="4">
        <v>4.72</v>
      </c>
      <c r="I120" s="4">
        <v>4.3600000000000003</v>
      </c>
      <c r="J120" s="4">
        <v>4.07</v>
      </c>
      <c r="K120" s="4">
        <v>3.97</v>
      </c>
      <c r="L120" s="4">
        <v>3.86</v>
      </c>
      <c r="M120" s="4">
        <v>4.1399999999999997</v>
      </c>
      <c r="N120" s="4">
        <v>3.96</v>
      </c>
    </row>
    <row r="121" spans="1:14" x14ac:dyDescent="0.2">
      <c r="A121" s="3">
        <v>45118</v>
      </c>
      <c r="B121" s="4">
        <v>5.35</v>
      </c>
      <c r="C121" s="4">
        <v>5.48</v>
      </c>
      <c r="D121" s="4">
        <v>5.49</v>
      </c>
      <c r="E121" s="4">
        <v>5.53</v>
      </c>
      <c r="F121" s="4">
        <v>5.55</v>
      </c>
      <c r="G121" s="4">
        <v>5.44</v>
      </c>
      <c r="H121" s="4">
        <v>4.88</v>
      </c>
      <c r="I121" s="4">
        <v>4.5199999999999996</v>
      </c>
      <c r="J121" s="4">
        <v>4.24</v>
      </c>
      <c r="K121" s="4">
        <v>4.13</v>
      </c>
      <c r="L121" s="4">
        <v>3.99</v>
      </c>
      <c r="M121" s="4">
        <v>4.22</v>
      </c>
      <c r="N121" s="4">
        <v>4.03</v>
      </c>
    </row>
    <row r="122" spans="1:14" x14ac:dyDescent="0.2">
      <c r="A122" s="3">
        <v>45117</v>
      </c>
      <c r="B122" s="4">
        <v>5.34</v>
      </c>
      <c r="C122" s="4">
        <v>5.47</v>
      </c>
      <c r="D122" s="4">
        <v>5.48</v>
      </c>
      <c r="E122" s="4">
        <v>5.53</v>
      </c>
      <c r="F122" s="4">
        <v>5.54</v>
      </c>
      <c r="G122" s="4">
        <v>5.38</v>
      </c>
      <c r="H122" s="4">
        <v>4.8499999999999996</v>
      </c>
      <c r="I122" s="4">
        <v>4.54</v>
      </c>
      <c r="J122" s="4">
        <v>4.25</v>
      </c>
      <c r="K122" s="4">
        <v>4.1399999999999997</v>
      </c>
      <c r="L122" s="4">
        <v>4.01</v>
      </c>
      <c r="M122" s="4">
        <v>4.24</v>
      </c>
      <c r="N122" s="4">
        <v>4.05</v>
      </c>
    </row>
    <row r="123" spans="1:14" x14ac:dyDescent="0.2">
      <c r="A123" s="3">
        <v>45114</v>
      </c>
      <c r="B123" s="4">
        <v>5.32</v>
      </c>
      <c r="C123" s="4">
        <v>5.47</v>
      </c>
      <c r="D123" s="4">
        <v>5.46</v>
      </c>
      <c r="E123" s="4">
        <v>5.52</v>
      </c>
      <c r="F123" s="4">
        <v>5.53</v>
      </c>
      <c r="G123" s="4">
        <v>5.41</v>
      </c>
      <c r="H123" s="4">
        <v>4.9400000000000004</v>
      </c>
      <c r="I123" s="4">
        <v>4.6399999999999997</v>
      </c>
      <c r="J123" s="4">
        <v>4.3499999999999996</v>
      </c>
      <c r="K123" s="4">
        <v>4.2300000000000004</v>
      </c>
      <c r="L123" s="4">
        <v>4.0599999999999996</v>
      </c>
      <c r="M123" s="4">
        <v>4.2699999999999996</v>
      </c>
      <c r="N123" s="4">
        <v>4.05</v>
      </c>
    </row>
    <row r="124" spans="1:14" x14ac:dyDescent="0.2">
      <c r="A124" s="3">
        <v>45113</v>
      </c>
      <c r="B124" s="4">
        <v>5.32</v>
      </c>
      <c r="C124" s="4">
        <v>5.47</v>
      </c>
      <c r="D124" s="4">
        <v>5.46</v>
      </c>
      <c r="E124" s="4">
        <v>5.52</v>
      </c>
      <c r="F124" s="4">
        <v>5.54</v>
      </c>
      <c r="G124" s="4">
        <v>5.44</v>
      </c>
      <c r="H124" s="4">
        <v>4.99</v>
      </c>
      <c r="I124" s="4">
        <v>4.68</v>
      </c>
      <c r="J124" s="4">
        <v>4.37</v>
      </c>
      <c r="K124" s="4">
        <v>4.22</v>
      </c>
      <c r="L124" s="4">
        <v>4.05</v>
      </c>
      <c r="M124" s="4">
        <v>4.2300000000000004</v>
      </c>
      <c r="N124" s="4">
        <v>4.01</v>
      </c>
    </row>
    <row r="125" spans="1:14" x14ac:dyDescent="0.2">
      <c r="A125" s="3">
        <v>45112</v>
      </c>
      <c r="B125" s="4">
        <v>5.28</v>
      </c>
      <c r="C125" s="4">
        <v>5.38</v>
      </c>
      <c r="D125" s="4">
        <v>5.44</v>
      </c>
      <c r="E125" s="4">
        <v>5.51</v>
      </c>
      <c r="F125" s="4">
        <v>5.52</v>
      </c>
      <c r="G125" s="4">
        <v>5.4</v>
      </c>
      <c r="H125" s="4">
        <v>4.9400000000000004</v>
      </c>
      <c r="I125" s="4">
        <v>4.59</v>
      </c>
      <c r="J125" s="4">
        <v>4.25</v>
      </c>
      <c r="K125" s="4">
        <v>4.1100000000000003</v>
      </c>
      <c r="L125" s="4">
        <v>3.95</v>
      </c>
      <c r="M125" s="4">
        <v>4.17</v>
      </c>
      <c r="N125" s="4">
        <v>3.95</v>
      </c>
    </row>
    <row r="126" spans="1:14" x14ac:dyDescent="0.2">
      <c r="A126" s="3">
        <v>45110</v>
      </c>
      <c r="B126" s="4">
        <v>5.27</v>
      </c>
      <c r="C126" s="4">
        <v>5.4</v>
      </c>
      <c r="D126" s="4">
        <v>5.44</v>
      </c>
      <c r="E126" s="4">
        <v>5.52</v>
      </c>
      <c r="F126" s="4">
        <v>5.53</v>
      </c>
      <c r="G126" s="4">
        <v>5.43</v>
      </c>
      <c r="H126" s="4">
        <v>4.9400000000000004</v>
      </c>
      <c r="I126" s="4">
        <v>4.5599999999999996</v>
      </c>
      <c r="J126" s="4">
        <v>4.1900000000000004</v>
      </c>
      <c r="K126" s="4">
        <v>4.03</v>
      </c>
      <c r="L126" s="4">
        <v>3.86</v>
      </c>
      <c r="M126" s="4">
        <v>4.08</v>
      </c>
      <c r="N126" s="4">
        <v>3.87</v>
      </c>
    </row>
    <row r="127" spans="1:14" x14ac:dyDescent="0.2">
      <c r="A127" s="3">
        <v>45107</v>
      </c>
      <c r="B127" s="4">
        <v>5.24</v>
      </c>
      <c r="C127" s="4">
        <v>5.39</v>
      </c>
      <c r="D127" s="4">
        <v>5.43</v>
      </c>
      <c r="E127" s="4">
        <v>5.5</v>
      </c>
      <c r="F127" s="4">
        <v>5.47</v>
      </c>
      <c r="G127" s="4">
        <v>5.4</v>
      </c>
      <c r="H127" s="4">
        <v>4.87</v>
      </c>
      <c r="I127" s="4">
        <v>4.49</v>
      </c>
      <c r="J127" s="4">
        <v>4.13</v>
      </c>
      <c r="K127" s="4">
        <v>3.97</v>
      </c>
      <c r="L127" s="4">
        <v>3.81</v>
      </c>
      <c r="M127" s="4">
        <v>4.0599999999999996</v>
      </c>
      <c r="N127" s="4">
        <v>3.85</v>
      </c>
    </row>
    <row r="128" spans="1:14" x14ac:dyDescent="0.2">
      <c r="A128" s="3">
        <v>45106</v>
      </c>
      <c r="B128" s="4">
        <v>5.25</v>
      </c>
      <c r="C128" s="4">
        <v>5.4</v>
      </c>
      <c r="D128" s="4">
        <v>5.46</v>
      </c>
      <c r="E128" s="4">
        <v>5.51</v>
      </c>
      <c r="F128" s="4">
        <v>5.5</v>
      </c>
      <c r="G128" s="4">
        <v>5.41</v>
      </c>
      <c r="H128" s="4">
        <v>4.87</v>
      </c>
      <c r="I128" s="4">
        <v>4.49</v>
      </c>
      <c r="J128" s="4">
        <v>4.1399999999999997</v>
      </c>
      <c r="K128" s="4">
        <v>3.99</v>
      </c>
      <c r="L128" s="4">
        <v>3.85</v>
      </c>
      <c r="M128" s="4">
        <v>4.1100000000000003</v>
      </c>
      <c r="N128" s="4">
        <v>3.92</v>
      </c>
    </row>
    <row r="129" spans="1:14" x14ac:dyDescent="0.2">
      <c r="A129" s="3">
        <v>45105</v>
      </c>
      <c r="B129" s="4">
        <v>5.17</v>
      </c>
      <c r="C129" s="4">
        <v>5.32</v>
      </c>
      <c r="D129" s="4">
        <v>5.44</v>
      </c>
      <c r="E129" s="4">
        <v>5.49</v>
      </c>
      <c r="F129" s="4">
        <v>5.47</v>
      </c>
      <c r="G129" s="4">
        <v>5.32</v>
      </c>
      <c r="H129" s="4">
        <v>4.71</v>
      </c>
      <c r="I129" s="4">
        <v>4.32</v>
      </c>
      <c r="J129" s="4">
        <v>3.97</v>
      </c>
      <c r="K129" s="4">
        <v>3.83</v>
      </c>
      <c r="L129" s="4">
        <v>3.71</v>
      </c>
      <c r="M129" s="4">
        <v>4</v>
      </c>
      <c r="N129" s="4">
        <v>3.81</v>
      </c>
    </row>
    <row r="130" spans="1:14" x14ac:dyDescent="0.2">
      <c r="A130" s="3">
        <v>45104</v>
      </c>
      <c r="B130" s="4">
        <v>5.17</v>
      </c>
      <c r="C130" s="4">
        <v>5.31</v>
      </c>
      <c r="D130" s="4">
        <v>5.44</v>
      </c>
      <c r="E130" s="4">
        <v>5.44</v>
      </c>
      <c r="F130" s="4">
        <v>5.46</v>
      </c>
      <c r="G130" s="4">
        <v>5.33</v>
      </c>
      <c r="H130" s="4">
        <v>4.74</v>
      </c>
      <c r="I130" s="4">
        <v>4.38</v>
      </c>
      <c r="J130" s="4">
        <v>4.0199999999999996</v>
      </c>
      <c r="K130" s="4">
        <v>3.9</v>
      </c>
      <c r="L130" s="4">
        <v>3.77</v>
      </c>
      <c r="M130" s="4">
        <v>4.03</v>
      </c>
      <c r="N130" s="4">
        <v>3.84</v>
      </c>
    </row>
    <row r="131" spans="1:14" x14ac:dyDescent="0.2">
      <c r="A131" s="3">
        <v>45103</v>
      </c>
      <c r="B131" s="4">
        <v>5.17</v>
      </c>
      <c r="C131" s="4">
        <v>5.31</v>
      </c>
      <c r="D131" s="4">
        <v>5.5</v>
      </c>
      <c r="E131" s="4">
        <v>5.44</v>
      </c>
      <c r="F131" s="4">
        <v>5.45</v>
      </c>
      <c r="G131" s="4">
        <v>5.27</v>
      </c>
      <c r="H131" s="4">
        <v>4.6500000000000004</v>
      </c>
      <c r="I131" s="4">
        <v>4.3</v>
      </c>
      <c r="J131" s="4">
        <v>3.96</v>
      </c>
      <c r="K131" s="4">
        <v>3.85</v>
      </c>
      <c r="L131" s="4">
        <v>3.72</v>
      </c>
      <c r="M131" s="4">
        <v>4.01</v>
      </c>
      <c r="N131" s="4">
        <v>3.83</v>
      </c>
    </row>
    <row r="132" spans="1:14" x14ac:dyDescent="0.2">
      <c r="A132" s="3">
        <v>45100</v>
      </c>
      <c r="B132" s="4">
        <v>5.17</v>
      </c>
      <c r="C132" s="4">
        <v>5.3</v>
      </c>
      <c r="D132" s="4">
        <v>5.41</v>
      </c>
      <c r="E132" s="4">
        <v>5.44</v>
      </c>
      <c r="F132" s="4">
        <v>5.41</v>
      </c>
      <c r="G132" s="4">
        <v>5.25</v>
      </c>
      <c r="H132" s="4">
        <v>4.71</v>
      </c>
      <c r="I132" s="4">
        <v>4.32</v>
      </c>
      <c r="J132" s="4">
        <v>3.99</v>
      </c>
      <c r="K132" s="4">
        <v>3.88</v>
      </c>
      <c r="L132" s="4">
        <v>3.74</v>
      </c>
      <c r="M132" s="4">
        <v>4.01</v>
      </c>
      <c r="N132" s="4">
        <v>3.82</v>
      </c>
    </row>
    <row r="133" spans="1:14" x14ac:dyDescent="0.2">
      <c r="A133" s="3">
        <v>45099</v>
      </c>
      <c r="B133" s="4">
        <v>5.18</v>
      </c>
      <c r="C133" s="4">
        <v>5.31</v>
      </c>
      <c r="D133" s="4">
        <v>5.4</v>
      </c>
      <c r="E133" s="4">
        <v>5.44</v>
      </c>
      <c r="F133" s="4">
        <v>5.41</v>
      </c>
      <c r="G133" s="4">
        <v>5.29</v>
      </c>
      <c r="H133" s="4">
        <v>4.7699999999999996</v>
      </c>
      <c r="I133" s="4">
        <v>4.37</v>
      </c>
      <c r="J133" s="4">
        <v>4.03</v>
      </c>
      <c r="K133" s="4">
        <v>3.92</v>
      </c>
      <c r="L133" s="4">
        <v>3.8</v>
      </c>
      <c r="M133" s="4">
        <v>4.0599999999999996</v>
      </c>
      <c r="N133" s="4">
        <v>3.88</v>
      </c>
    </row>
    <row r="134" spans="1:14" x14ac:dyDescent="0.2">
      <c r="A134" s="3">
        <v>45098</v>
      </c>
      <c r="B134" s="4">
        <v>5.16</v>
      </c>
      <c r="C134" s="4">
        <v>5.27</v>
      </c>
      <c r="D134" s="4">
        <v>5.4</v>
      </c>
      <c r="E134" s="4">
        <v>5.44</v>
      </c>
      <c r="F134" s="4">
        <v>5.41</v>
      </c>
      <c r="G134" s="4">
        <v>5.25</v>
      </c>
      <c r="H134" s="4">
        <v>4.68</v>
      </c>
      <c r="I134" s="4">
        <v>4.29</v>
      </c>
      <c r="J134" s="4">
        <v>3.95</v>
      </c>
      <c r="K134" s="4">
        <v>3.84</v>
      </c>
      <c r="L134" s="4">
        <v>3.72</v>
      </c>
      <c r="M134" s="4">
        <v>3.99</v>
      </c>
      <c r="N134" s="4">
        <v>3.81</v>
      </c>
    </row>
    <row r="135" spans="1:14" x14ac:dyDescent="0.2">
      <c r="A135" s="3">
        <v>45097</v>
      </c>
      <c r="B135" s="4">
        <v>5.17</v>
      </c>
      <c r="C135" s="4">
        <v>5.26</v>
      </c>
      <c r="D135" s="4">
        <v>5.39</v>
      </c>
      <c r="E135" s="4">
        <v>5.39</v>
      </c>
      <c r="F135" s="4">
        <v>5.41</v>
      </c>
      <c r="G135" s="4">
        <v>5.24</v>
      </c>
      <c r="H135" s="4">
        <v>4.68</v>
      </c>
      <c r="I135" s="4">
        <v>4.29</v>
      </c>
      <c r="J135" s="4">
        <v>3.96</v>
      </c>
      <c r="K135" s="4">
        <v>3.85</v>
      </c>
      <c r="L135" s="4">
        <v>3.74</v>
      </c>
      <c r="M135" s="4">
        <v>4.01</v>
      </c>
      <c r="N135" s="4">
        <v>3.83</v>
      </c>
    </row>
    <row r="136" spans="1:14" x14ac:dyDescent="0.2">
      <c r="A136" s="3">
        <v>45093</v>
      </c>
      <c r="B136" s="4">
        <v>5.18</v>
      </c>
      <c r="C136" s="4">
        <v>5.27</v>
      </c>
      <c r="D136" s="4">
        <v>5.34</v>
      </c>
      <c r="E136" s="4">
        <v>5.38</v>
      </c>
      <c r="F136" s="4">
        <v>5.35</v>
      </c>
      <c r="G136" s="4">
        <v>5.24</v>
      </c>
      <c r="H136" s="4">
        <v>4.7</v>
      </c>
      <c r="I136" s="4">
        <v>4.32</v>
      </c>
      <c r="J136" s="4">
        <v>3.99</v>
      </c>
      <c r="K136" s="4">
        <v>3.88</v>
      </c>
      <c r="L136" s="4">
        <v>3.77</v>
      </c>
      <c r="M136" s="4">
        <v>4.05</v>
      </c>
      <c r="N136" s="4">
        <v>3.86</v>
      </c>
    </row>
    <row r="137" spans="1:14" x14ac:dyDescent="0.2">
      <c r="A137" s="3">
        <v>45092</v>
      </c>
      <c r="B137" s="4">
        <v>5.18</v>
      </c>
      <c r="C137" s="4">
        <v>5.25</v>
      </c>
      <c r="D137" s="4">
        <v>5.33</v>
      </c>
      <c r="E137" s="4">
        <v>5.37</v>
      </c>
      <c r="F137" s="4">
        <v>5.33</v>
      </c>
      <c r="G137" s="4">
        <v>5.21</v>
      </c>
      <c r="H137" s="4">
        <v>4.62</v>
      </c>
      <c r="I137" s="4">
        <v>4.2300000000000004</v>
      </c>
      <c r="J137" s="4">
        <v>3.91</v>
      </c>
      <c r="K137" s="4">
        <v>3.82</v>
      </c>
      <c r="L137" s="4">
        <v>3.72</v>
      </c>
      <c r="M137" s="4">
        <v>4.0199999999999996</v>
      </c>
      <c r="N137" s="4">
        <v>3.85</v>
      </c>
    </row>
    <row r="138" spans="1:14" x14ac:dyDescent="0.2">
      <c r="A138" s="3">
        <v>45091</v>
      </c>
      <c r="B138" s="4">
        <v>5.18</v>
      </c>
      <c r="C138" s="4">
        <v>5.25</v>
      </c>
      <c r="D138" s="4">
        <v>5.36</v>
      </c>
      <c r="E138" s="4">
        <v>5.37</v>
      </c>
      <c r="F138" s="4">
        <v>5.36</v>
      </c>
      <c r="G138" s="4">
        <v>5.27</v>
      </c>
      <c r="H138" s="4">
        <v>4.74</v>
      </c>
      <c r="I138" s="4">
        <v>4.37</v>
      </c>
      <c r="J138" s="4">
        <v>4.0599999999999996</v>
      </c>
      <c r="K138" s="4">
        <v>3.95</v>
      </c>
      <c r="L138" s="4">
        <v>3.83</v>
      </c>
      <c r="M138" s="4">
        <v>4.09</v>
      </c>
      <c r="N138" s="4">
        <v>3.9</v>
      </c>
    </row>
    <row r="139" spans="1:14" x14ac:dyDescent="0.2">
      <c r="A139" s="3">
        <v>45090</v>
      </c>
      <c r="B139" s="4">
        <v>5.19</v>
      </c>
      <c r="C139" s="4">
        <v>5.24</v>
      </c>
      <c r="D139" s="4">
        <v>5.36</v>
      </c>
      <c r="E139" s="4">
        <v>5.37</v>
      </c>
      <c r="F139" s="4">
        <v>5.36</v>
      </c>
      <c r="G139" s="4">
        <v>5.26</v>
      </c>
      <c r="H139" s="4">
        <v>4.67</v>
      </c>
      <c r="I139" s="4">
        <v>4.3</v>
      </c>
      <c r="J139" s="4">
        <v>4.01</v>
      </c>
      <c r="K139" s="4">
        <v>3.94</v>
      </c>
      <c r="L139" s="4">
        <v>3.84</v>
      </c>
      <c r="M139" s="4">
        <v>4.12</v>
      </c>
      <c r="N139" s="4">
        <v>3.94</v>
      </c>
    </row>
    <row r="140" spans="1:14" x14ac:dyDescent="0.2">
      <c r="A140" s="3">
        <v>45089</v>
      </c>
      <c r="B140" s="4">
        <v>5.24</v>
      </c>
      <c r="C140" s="4">
        <v>5.31</v>
      </c>
      <c r="D140" s="4">
        <v>5.4</v>
      </c>
      <c r="E140" s="4">
        <v>5.43</v>
      </c>
      <c r="F140" s="4">
        <v>5.38</v>
      </c>
      <c r="G140" s="4">
        <v>5.18</v>
      </c>
      <c r="H140" s="4">
        <v>4.55</v>
      </c>
      <c r="I140" s="4">
        <v>4.16</v>
      </c>
      <c r="J140" s="4">
        <v>3.89</v>
      </c>
      <c r="K140" s="4">
        <v>3.82</v>
      </c>
      <c r="L140" s="4">
        <v>3.73</v>
      </c>
      <c r="M140" s="4">
        <v>4.04</v>
      </c>
      <c r="N140" s="4">
        <v>3.87</v>
      </c>
    </row>
    <row r="141" spans="1:14" x14ac:dyDescent="0.2">
      <c r="A141" s="3">
        <v>45086</v>
      </c>
      <c r="B141" s="4">
        <v>5.25</v>
      </c>
      <c r="C141" s="4">
        <v>5.32</v>
      </c>
      <c r="D141" s="4">
        <v>5.37</v>
      </c>
      <c r="E141" s="4">
        <v>5.45</v>
      </c>
      <c r="F141" s="4">
        <v>5.39</v>
      </c>
      <c r="G141" s="4">
        <v>5.17</v>
      </c>
      <c r="H141" s="4">
        <v>4.59</v>
      </c>
      <c r="I141" s="4">
        <v>4.2300000000000004</v>
      </c>
      <c r="J141" s="4">
        <v>3.92</v>
      </c>
      <c r="K141" s="4">
        <v>3.84</v>
      </c>
      <c r="L141" s="4">
        <v>3.75</v>
      </c>
      <c r="M141" s="4">
        <v>4.05</v>
      </c>
      <c r="N141" s="4">
        <v>3.89</v>
      </c>
    </row>
    <row r="142" spans="1:14" x14ac:dyDescent="0.2">
      <c r="A142" s="3">
        <v>45085</v>
      </c>
      <c r="B142" s="4">
        <v>5.25</v>
      </c>
      <c r="C142" s="4">
        <v>5.29</v>
      </c>
      <c r="D142" s="4">
        <v>5.38</v>
      </c>
      <c r="E142" s="4">
        <v>5.42</v>
      </c>
      <c r="F142" s="4">
        <v>5.39</v>
      </c>
      <c r="G142" s="4">
        <v>5.12</v>
      </c>
      <c r="H142" s="4">
        <v>4.5199999999999996</v>
      </c>
      <c r="I142" s="4">
        <v>4.17</v>
      </c>
      <c r="J142" s="4">
        <v>3.87</v>
      </c>
      <c r="K142" s="4">
        <v>3.8</v>
      </c>
      <c r="L142" s="4">
        <v>3.73</v>
      </c>
      <c r="M142" s="4">
        <v>4.05</v>
      </c>
      <c r="N142" s="4">
        <v>3.89</v>
      </c>
    </row>
    <row r="143" spans="1:14" x14ac:dyDescent="0.2">
      <c r="A143" s="3">
        <v>45084</v>
      </c>
      <c r="B143" s="4">
        <v>5.07</v>
      </c>
      <c r="C143" s="4">
        <v>5.26</v>
      </c>
      <c r="D143" s="4">
        <v>5.42</v>
      </c>
      <c r="E143" s="4">
        <v>5.42</v>
      </c>
      <c r="F143" s="4">
        <v>5.43</v>
      </c>
      <c r="G143" s="4">
        <v>5.16</v>
      </c>
      <c r="H143" s="4">
        <v>4.5599999999999996</v>
      </c>
      <c r="I143" s="4">
        <v>4.21</v>
      </c>
      <c r="J143" s="4">
        <v>3.93</v>
      </c>
      <c r="K143" s="4">
        <v>3.88</v>
      </c>
      <c r="L143" s="4">
        <v>3.79</v>
      </c>
      <c r="M143" s="4">
        <v>4.12</v>
      </c>
      <c r="N143" s="4">
        <v>3.95</v>
      </c>
    </row>
    <row r="144" spans="1:14" x14ac:dyDescent="0.2">
      <c r="A144" s="3">
        <v>45083</v>
      </c>
      <c r="B144" s="4">
        <v>5.15</v>
      </c>
      <c r="C144" s="4">
        <v>5.26</v>
      </c>
      <c r="D144" s="4">
        <v>5.44</v>
      </c>
      <c r="E144" s="4">
        <v>5.44</v>
      </c>
      <c r="F144" s="4">
        <v>5.44</v>
      </c>
      <c r="G144" s="4">
        <v>5.2</v>
      </c>
      <c r="H144" s="4">
        <v>4.51</v>
      </c>
      <c r="I144" s="4">
        <v>4.1500000000000004</v>
      </c>
      <c r="J144" s="4">
        <v>3.85</v>
      </c>
      <c r="K144" s="4">
        <v>3.78</v>
      </c>
      <c r="L144" s="4">
        <v>3.7</v>
      </c>
      <c r="M144" s="4">
        <v>4.0199999999999996</v>
      </c>
      <c r="N144" s="4">
        <v>3.87</v>
      </c>
    </row>
    <row r="145" spans="1:14" x14ac:dyDescent="0.2">
      <c r="A145" s="3">
        <v>45082</v>
      </c>
      <c r="B145" s="4">
        <v>5.25</v>
      </c>
      <c r="C145" s="4">
        <v>5.35</v>
      </c>
      <c r="D145" s="4">
        <v>5.46</v>
      </c>
      <c r="E145" s="4">
        <v>5.47</v>
      </c>
      <c r="F145" s="4">
        <v>5.46</v>
      </c>
      <c r="G145" s="4">
        <v>5.17</v>
      </c>
      <c r="H145" s="4">
        <v>4.46</v>
      </c>
      <c r="I145" s="4">
        <v>4.0999999999999996</v>
      </c>
      <c r="J145" s="4">
        <v>3.82</v>
      </c>
      <c r="K145" s="4">
        <v>3.77</v>
      </c>
      <c r="L145" s="4">
        <v>3.69</v>
      </c>
      <c r="M145" s="4">
        <v>4.03</v>
      </c>
      <c r="N145" s="4">
        <v>3.89</v>
      </c>
    </row>
    <row r="146" spans="1:14" x14ac:dyDescent="0.2">
      <c r="A146" s="3">
        <v>45079</v>
      </c>
      <c r="B146" s="4">
        <v>5.28</v>
      </c>
      <c r="C146" s="4">
        <v>5.39</v>
      </c>
      <c r="D146" s="4">
        <v>5.5</v>
      </c>
      <c r="E146" s="4">
        <v>5.52</v>
      </c>
      <c r="F146" s="4">
        <v>5.5</v>
      </c>
      <c r="G146" s="4">
        <v>5.22</v>
      </c>
      <c r="H146" s="4">
        <v>4.5</v>
      </c>
      <c r="I146" s="4">
        <v>4.13</v>
      </c>
      <c r="J146" s="4">
        <v>3.84</v>
      </c>
      <c r="K146" s="4">
        <v>3.78</v>
      </c>
      <c r="L146" s="4">
        <v>3.69</v>
      </c>
      <c r="M146" s="4">
        <v>4.03</v>
      </c>
      <c r="N146" s="4">
        <v>3.88</v>
      </c>
    </row>
    <row r="147" spans="1:14" x14ac:dyDescent="0.2">
      <c r="A147" s="3">
        <v>45078</v>
      </c>
      <c r="B147" s="4">
        <v>5.3</v>
      </c>
      <c r="C147" s="4">
        <v>5.39</v>
      </c>
      <c r="D147" s="4">
        <v>5.5</v>
      </c>
      <c r="E147" s="4">
        <v>5.5</v>
      </c>
      <c r="F147" s="4">
        <v>5.44</v>
      </c>
      <c r="G147" s="4">
        <v>5.1100000000000003</v>
      </c>
      <c r="H147" s="4">
        <v>4.33</v>
      </c>
      <c r="I147" s="4">
        <v>3.98</v>
      </c>
      <c r="J147" s="4">
        <v>3.7</v>
      </c>
      <c r="K147" s="4">
        <v>3.66</v>
      </c>
      <c r="L147" s="4">
        <v>3.61</v>
      </c>
      <c r="M147" s="4">
        <v>3.98</v>
      </c>
      <c r="N147" s="4">
        <v>3.84</v>
      </c>
    </row>
    <row r="148" spans="1:14" x14ac:dyDescent="0.2">
      <c r="A148" s="3">
        <v>45077</v>
      </c>
      <c r="B148" s="4">
        <v>5.28</v>
      </c>
      <c r="C148" s="4">
        <v>5.37</v>
      </c>
      <c r="D148" s="4">
        <v>5.52</v>
      </c>
      <c r="E148" s="4">
        <v>5.53</v>
      </c>
      <c r="F148" s="4">
        <v>5.46</v>
      </c>
      <c r="G148" s="4">
        <v>5.18</v>
      </c>
      <c r="H148" s="4">
        <v>4.4000000000000004</v>
      </c>
      <c r="I148" s="4">
        <v>4.04</v>
      </c>
      <c r="J148" s="4">
        <v>3.74</v>
      </c>
      <c r="K148" s="4">
        <v>3.69</v>
      </c>
      <c r="L148" s="4">
        <v>3.64</v>
      </c>
      <c r="M148" s="4">
        <v>4.01</v>
      </c>
      <c r="N148" s="4">
        <v>3.85</v>
      </c>
    </row>
    <row r="149" spans="1:14" x14ac:dyDescent="0.2">
      <c r="A149" s="3">
        <v>45076</v>
      </c>
      <c r="B149" s="4">
        <v>5.31</v>
      </c>
      <c r="C149" s="4">
        <v>5.31</v>
      </c>
      <c r="D149" s="4">
        <v>5.55</v>
      </c>
      <c r="E149" s="4">
        <v>5.54</v>
      </c>
      <c r="F149" s="4">
        <v>5.52</v>
      </c>
      <c r="G149" s="4">
        <v>5.22</v>
      </c>
      <c r="H149" s="4">
        <v>4.46</v>
      </c>
      <c r="I149" s="4">
        <v>4.0999999999999996</v>
      </c>
      <c r="J149" s="4">
        <v>3.81</v>
      </c>
      <c r="K149" s="4">
        <v>3.75</v>
      </c>
      <c r="L149" s="4">
        <v>3.69</v>
      </c>
      <c r="M149" s="4">
        <v>4.0599999999999996</v>
      </c>
      <c r="N149" s="4">
        <v>3.9</v>
      </c>
    </row>
    <row r="150" spans="1:14" x14ac:dyDescent="0.2">
      <c r="A150" s="3">
        <v>45072</v>
      </c>
      <c r="B150" s="4">
        <v>6.02</v>
      </c>
      <c r="C150" s="4">
        <v>5.47</v>
      </c>
      <c r="D150" s="4">
        <v>5.34</v>
      </c>
      <c r="E150" s="4">
        <v>5.55</v>
      </c>
      <c r="F150" s="4">
        <v>5.44</v>
      </c>
      <c r="G150" s="4">
        <v>5.25</v>
      </c>
      <c r="H150" s="4">
        <v>4.54</v>
      </c>
      <c r="I150" s="4">
        <v>4.2300000000000004</v>
      </c>
      <c r="J150" s="4">
        <v>3.92</v>
      </c>
      <c r="K150" s="4">
        <v>3.86</v>
      </c>
      <c r="L150" s="4">
        <v>3.8</v>
      </c>
      <c r="M150" s="4">
        <v>4.13</v>
      </c>
      <c r="N150" s="4">
        <v>3.96</v>
      </c>
    </row>
    <row r="151" spans="1:14" x14ac:dyDescent="0.2">
      <c r="A151" s="3">
        <v>45071</v>
      </c>
      <c r="B151" s="4">
        <v>5.95</v>
      </c>
      <c r="C151" s="4">
        <v>5.44</v>
      </c>
      <c r="D151" s="4">
        <v>5.38</v>
      </c>
      <c r="E151" s="4">
        <v>5.55</v>
      </c>
      <c r="F151" s="4">
        <v>5.46</v>
      </c>
      <c r="G151" s="4">
        <v>5.24</v>
      </c>
      <c r="H151" s="4">
        <v>4.5</v>
      </c>
      <c r="I151" s="4">
        <v>4.21</v>
      </c>
      <c r="J151" s="4">
        <v>3.9</v>
      </c>
      <c r="K151" s="4">
        <v>3.86</v>
      </c>
      <c r="L151" s="4">
        <v>3.83</v>
      </c>
      <c r="M151" s="4">
        <v>4.16</v>
      </c>
      <c r="N151" s="4">
        <v>4.01</v>
      </c>
    </row>
    <row r="152" spans="1:14" x14ac:dyDescent="0.2">
      <c r="A152" s="3">
        <v>45070</v>
      </c>
      <c r="B152" s="4">
        <v>5.73</v>
      </c>
      <c r="C152" s="4">
        <v>5.22</v>
      </c>
      <c r="D152" s="4">
        <v>5.37</v>
      </c>
      <c r="E152" s="4">
        <v>5.52</v>
      </c>
      <c r="F152" s="4">
        <v>5.42</v>
      </c>
      <c r="G152" s="4">
        <v>5.12</v>
      </c>
      <c r="H152" s="4">
        <v>4.3099999999999996</v>
      </c>
      <c r="I152" s="4">
        <v>4.04</v>
      </c>
      <c r="J152" s="4">
        <v>3.75</v>
      </c>
      <c r="K152" s="4">
        <v>3.76</v>
      </c>
      <c r="L152" s="4">
        <v>3.73</v>
      </c>
      <c r="M152" s="4">
        <v>4.0999999999999996</v>
      </c>
      <c r="N152" s="4">
        <v>3.97</v>
      </c>
    </row>
    <row r="153" spans="1:14" x14ac:dyDescent="0.2">
      <c r="A153" s="3">
        <v>45069</v>
      </c>
      <c r="B153" s="4">
        <v>5.67</v>
      </c>
      <c r="C153" s="4">
        <v>5.26</v>
      </c>
      <c r="D153" s="4">
        <v>5.34</v>
      </c>
      <c r="E153" s="4">
        <v>5.42</v>
      </c>
      <c r="F153" s="4">
        <v>5.39</v>
      </c>
      <c r="G153" s="4">
        <v>5.0599999999999996</v>
      </c>
      <c r="H153" s="4">
        <v>4.26</v>
      </c>
      <c r="I153" s="4">
        <v>3.99</v>
      </c>
      <c r="J153" s="4">
        <v>3.76</v>
      </c>
      <c r="K153" s="4">
        <v>3.73</v>
      </c>
      <c r="L153" s="4">
        <v>3.7</v>
      </c>
      <c r="M153" s="4">
        <v>4.08</v>
      </c>
      <c r="N153" s="4">
        <v>3.96</v>
      </c>
    </row>
    <row r="154" spans="1:14" x14ac:dyDescent="0.2">
      <c r="A154" s="3">
        <v>45068</v>
      </c>
      <c r="B154" s="4">
        <v>5.69</v>
      </c>
      <c r="C154" s="4">
        <v>5.35</v>
      </c>
      <c r="D154" s="4">
        <v>5.4</v>
      </c>
      <c r="E154" s="4">
        <v>5.5</v>
      </c>
      <c r="F154" s="4">
        <v>5.43</v>
      </c>
      <c r="G154" s="4">
        <v>5.07</v>
      </c>
      <c r="H154" s="4">
        <v>4.29</v>
      </c>
      <c r="I154" s="4">
        <v>3.98</v>
      </c>
      <c r="J154" s="4">
        <v>3.77</v>
      </c>
      <c r="K154" s="4">
        <v>3.74</v>
      </c>
      <c r="L154" s="4">
        <v>3.72</v>
      </c>
      <c r="M154" s="4">
        <v>4.09</v>
      </c>
      <c r="N154" s="4">
        <v>3.97</v>
      </c>
    </row>
    <row r="155" spans="1:14" x14ac:dyDescent="0.2">
      <c r="A155" s="3">
        <v>45065</v>
      </c>
      <c r="B155" s="4">
        <v>5.62</v>
      </c>
      <c r="C155" s="4">
        <v>5.27</v>
      </c>
      <c r="D155" s="4">
        <v>5.29</v>
      </c>
      <c r="E155" s="4">
        <v>5.46</v>
      </c>
      <c r="F155" s="4">
        <v>5.36</v>
      </c>
      <c r="G155" s="4">
        <v>5.0199999999999996</v>
      </c>
      <c r="H155" s="4">
        <v>4.28</v>
      </c>
      <c r="I155" s="4">
        <v>3.98</v>
      </c>
      <c r="J155" s="4">
        <v>3.76</v>
      </c>
      <c r="K155" s="4">
        <v>3.74</v>
      </c>
      <c r="L155" s="4">
        <v>3.7</v>
      </c>
      <c r="M155" s="4">
        <v>4.07</v>
      </c>
      <c r="N155" s="4">
        <v>3.95</v>
      </c>
    </row>
    <row r="156" spans="1:14" x14ac:dyDescent="0.2">
      <c r="A156" s="3">
        <v>45064</v>
      </c>
      <c r="B156" s="4">
        <v>5.59</v>
      </c>
      <c r="C156" s="4">
        <v>5.22</v>
      </c>
      <c r="D156" s="4">
        <v>5.31</v>
      </c>
      <c r="E156" s="4">
        <v>5.43</v>
      </c>
      <c r="F156" s="4">
        <v>5.38</v>
      </c>
      <c r="G156" s="4">
        <v>5.0199999999999996</v>
      </c>
      <c r="H156" s="4">
        <v>4.24</v>
      </c>
      <c r="I156" s="4">
        <v>3.94</v>
      </c>
      <c r="J156" s="4">
        <v>3.69</v>
      </c>
      <c r="K156" s="4">
        <v>3.67</v>
      </c>
      <c r="L156" s="4">
        <v>3.65</v>
      </c>
      <c r="M156" s="4">
        <v>4.0199999999999996</v>
      </c>
      <c r="N156" s="4">
        <v>3.91</v>
      </c>
    </row>
    <row r="157" spans="1:14" x14ac:dyDescent="0.2">
      <c r="A157" s="3">
        <v>45063</v>
      </c>
      <c r="B157" s="4">
        <v>5.5</v>
      </c>
      <c r="C157" s="4">
        <v>5.0599999999999996</v>
      </c>
      <c r="D157" s="4">
        <v>5.26</v>
      </c>
      <c r="E157" s="4">
        <v>5.36</v>
      </c>
      <c r="F157" s="4">
        <v>5.3</v>
      </c>
      <c r="G157" s="4">
        <v>4.92</v>
      </c>
      <c r="H157" s="4">
        <v>4.12</v>
      </c>
      <c r="I157" s="4">
        <v>3.8</v>
      </c>
      <c r="J157" s="4">
        <v>3.58</v>
      </c>
      <c r="K157" s="4">
        <v>3.58</v>
      </c>
      <c r="L157" s="4">
        <v>3.57</v>
      </c>
      <c r="M157" s="4">
        <v>3.96</v>
      </c>
      <c r="N157" s="4">
        <v>3.88</v>
      </c>
    </row>
    <row r="158" spans="1:14" x14ac:dyDescent="0.2">
      <c r="A158" s="3">
        <v>45062</v>
      </c>
      <c r="B158" s="4">
        <v>5.58</v>
      </c>
      <c r="C158" s="4">
        <v>4.9800000000000004</v>
      </c>
      <c r="D158" s="4">
        <v>5.23</v>
      </c>
      <c r="E158" s="4">
        <v>5.24</v>
      </c>
      <c r="F158" s="4">
        <v>5.26</v>
      </c>
      <c r="G158" s="4">
        <v>4.88</v>
      </c>
      <c r="H158" s="4">
        <v>4.0599999999999996</v>
      </c>
      <c r="I158" s="4">
        <v>3.74</v>
      </c>
      <c r="J158" s="4">
        <v>3.52</v>
      </c>
      <c r="K158" s="4">
        <v>3.53</v>
      </c>
      <c r="L158" s="4">
        <v>3.54</v>
      </c>
      <c r="M158" s="4">
        <v>3.96</v>
      </c>
      <c r="N158" s="4">
        <v>3.87</v>
      </c>
    </row>
    <row r="159" spans="1:14" x14ac:dyDescent="0.2">
      <c r="A159" s="3">
        <v>45061</v>
      </c>
      <c r="B159" s="4">
        <v>5.64</v>
      </c>
      <c r="C159" s="4">
        <v>4.97</v>
      </c>
      <c r="D159" s="4">
        <v>5.21</v>
      </c>
      <c r="E159" s="4">
        <v>5.26</v>
      </c>
      <c r="F159" s="4">
        <v>5.24</v>
      </c>
      <c r="G159" s="4">
        <v>4.7300000000000004</v>
      </c>
      <c r="H159" s="4">
        <v>3.99</v>
      </c>
      <c r="I159" s="4">
        <v>3.67</v>
      </c>
      <c r="J159" s="4">
        <v>3.46</v>
      </c>
      <c r="K159" s="4">
        <v>3.48</v>
      </c>
      <c r="L159" s="4">
        <v>3.5</v>
      </c>
      <c r="M159" s="4">
        <v>3.92</v>
      </c>
      <c r="N159" s="4">
        <v>3.84</v>
      </c>
    </row>
    <row r="160" spans="1:14" x14ac:dyDescent="0.2">
      <c r="A160" s="3">
        <v>45058</v>
      </c>
      <c r="B160" s="4">
        <v>5.79</v>
      </c>
      <c r="C160" s="4">
        <v>4.87</v>
      </c>
      <c r="D160" s="4">
        <v>5.25</v>
      </c>
      <c r="E160" s="4">
        <v>5.27</v>
      </c>
      <c r="F160" s="4">
        <v>5.16</v>
      </c>
      <c r="G160" s="4">
        <v>4.75</v>
      </c>
      <c r="H160" s="4">
        <v>3.98</v>
      </c>
      <c r="I160" s="4">
        <v>3.65</v>
      </c>
      <c r="J160" s="4">
        <v>3.45</v>
      </c>
      <c r="K160" s="4">
        <v>3.45</v>
      </c>
      <c r="L160" s="4">
        <v>3.46</v>
      </c>
      <c r="M160" s="4">
        <v>3.87</v>
      </c>
      <c r="N160" s="4">
        <v>3.78</v>
      </c>
    </row>
    <row r="161" spans="1:14" x14ac:dyDescent="0.2">
      <c r="A161" s="3">
        <v>45057</v>
      </c>
      <c r="B161" s="4">
        <v>5.81</v>
      </c>
      <c r="C161" s="4">
        <v>4.82</v>
      </c>
      <c r="D161" s="4">
        <v>5.2</v>
      </c>
      <c r="E161" s="4">
        <v>5.23</v>
      </c>
      <c r="F161" s="4">
        <v>5.14</v>
      </c>
      <c r="G161" s="4">
        <v>4.7</v>
      </c>
      <c r="H161" s="4">
        <v>3.89</v>
      </c>
      <c r="I161" s="4">
        <v>3.56</v>
      </c>
      <c r="J161" s="4">
        <v>3.36</v>
      </c>
      <c r="K161" s="4">
        <v>3.37</v>
      </c>
      <c r="L161" s="4">
        <v>3.39</v>
      </c>
      <c r="M161" s="4">
        <v>3.82</v>
      </c>
      <c r="N161" s="4">
        <v>3.73</v>
      </c>
    </row>
    <row r="162" spans="1:14" x14ac:dyDescent="0.2">
      <c r="A162" s="3">
        <v>45056</v>
      </c>
      <c r="B162" s="4">
        <v>5.5</v>
      </c>
      <c r="C162" s="4">
        <v>4.99</v>
      </c>
      <c r="D162" s="4">
        <v>5.24</v>
      </c>
      <c r="E162" s="4">
        <v>5.24</v>
      </c>
      <c r="F162" s="4">
        <v>5.13</v>
      </c>
      <c r="G162" s="4">
        <v>4.7</v>
      </c>
      <c r="H162" s="4">
        <v>3.9</v>
      </c>
      <c r="I162" s="4">
        <v>3.55</v>
      </c>
      <c r="J162" s="4">
        <v>3.37</v>
      </c>
      <c r="K162" s="4">
        <v>3.4</v>
      </c>
      <c r="L162" s="4">
        <v>3.43</v>
      </c>
      <c r="M162" s="4">
        <v>3.88</v>
      </c>
      <c r="N162" s="4">
        <v>3.8</v>
      </c>
    </row>
    <row r="163" spans="1:14" x14ac:dyDescent="0.2">
      <c r="A163" s="3">
        <v>45055</v>
      </c>
      <c r="B163" s="4">
        <v>5.56</v>
      </c>
      <c r="C163" s="4">
        <v>5.16</v>
      </c>
      <c r="D163" s="4">
        <v>5.29</v>
      </c>
      <c r="E163" s="4">
        <v>5.27</v>
      </c>
      <c r="F163" s="4">
        <v>5.18</v>
      </c>
      <c r="G163" s="4">
        <v>4.8099999999999996</v>
      </c>
      <c r="H163" s="4">
        <v>4.01</v>
      </c>
      <c r="I163" s="4">
        <v>3.67</v>
      </c>
      <c r="J163" s="4">
        <v>3.51</v>
      </c>
      <c r="K163" s="4">
        <v>3.51</v>
      </c>
      <c r="L163" s="4">
        <v>3.53</v>
      </c>
      <c r="M163" s="4">
        <v>3.94</v>
      </c>
      <c r="N163" s="4">
        <v>3.85</v>
      </c>
    </row>
    <row r="164" spans="1:14" x14ac:dyDescent="0.2">
      <c r="A164" s="3">
        <v>45054</v>
      </c>
      <c r="B164" s="4">
        <v>5.51</v>
      </c>
      <c r="C164" s="4">
        <v>5.17</v>
      </c>
      <c r="D164" s="4">
        <v>5.31</v>
      </c>
      <c r="E164" s="4">
        <v>5.26</v>
      </c>
      <c r="F164" s="4">
        <v>5.14</v>
      </c>
      <c r="G164" s="4">
        <v>4.79</v>
      </c>
      <c r="H164" s="4">
        <v>4</v>
      </c>
      <c r="I164" s="4">
        <v>3.7</v>
      </c>
      <c r="J164" s="4">
        <v>3.49</v>
      </c>
      <c r="K164" s="4">
        <v>3.5</v>
      </c>
      <c r="L164" s="4">
        <v>3.52</v>
      </c>
      <c r="M164" s="4">
        <v>3.92</v>
      </c>
      <c r="N164" s="4">
        <v>3.84</v>
      </c>
    </row>
    <row r="165" spans="1:14" x14ac:dyDescent="0.2">
      <c r="A165" s="3">
        <v>45051</v>
      </c>
      <c r="B165" s="4">
        <v>5.59</v>
      </c>
      <c r="C165" s="4">
        <v>5.23</v>
      </c>
      <c r="D165" s="4">
        <v>5.26</v>
      </c>
      <c r="E165" s="4">
        <v>5.26</v>
      </c>
      <c r="F165" s="4">
        <v>5.13</v>
      </c>
      <c r="G165" s="4">
        <v>4.7300000000000004</v>
      </c>
      <c r="H165" s="4">
        <v>3.92</v>
      </c>
      <c r="I165" s="4">
        <v>3.63</v>
      </c>
      <c r="J165" s="4">
        <v>3.41</v>
      </c>
      <c r="K165" s="4">
        <v>3.41</v>
      </c>
      <c r="L165" s="4">
        <v>3.44</v>
      </c>
      <c r="M165" s="4">
        <v>3.85</v>
      </c>
      <c r="N165" s="4">
        <v>3.76</v>
      </c>
    </row>
    <row r="166" spans="1:14" x14ac:dyDescent="0.2">
      <c r="A166" s="3">
        <v>45050</v>
      </c>
      <c r="B166" s="4">
        <v>5.76</v>
      </c>
      <c r="C166" s="4">
        <v>5.24</v>
      </c>
      <c r="D166" s="4">
        <v>5.26</v>
      </c>
      <c r="E166" s="4">
        <v>5.23</v>
      </c>
      <c r="F166" s="4">
        <v>5.04</v>
      </c>
      <c r="G166" s="4">
        <v>4.59</v>
      </c>
      <c r="H166" s="4">
        <v>3.75</v>
      </c>
      <c r="I166" s="4">
        <v>3.47</v>
      </c>
      <c r="J166" s="4">
        <v>3.29</v>
      </c>
      <c r="K166" s="4">
        <v>3.32</v>
      </c>
      <c r="L166" s="4">
        <v>3.37</v>
      </c>
      <c r="M166" s="4">
        <v>3.8</v>
      </c>
      <c r="N166" s="4">
        <v>3.73</v>
      </c>
    </row>
    <row r="167" spans="1:14" x14ac:dyDescent="0.2">
      <c r="A167" s="3">
        <v>45049</v>
      </c>
      <c r="B167" s="4">
        <v>4.7</v>
      </c>
      <c r="C167" s="4">
        <v>5.33</v>
      </c>
      <c r="D167" s="4">
        <v>5.26</v>
      </c>
      <c r="E167" s="4">
        <v>5.25</v>
      </c>
      <c r="F167" s="4">
        <v>5.08</v>
      </c>
      <c r="G167" s="4">
        <v>4.7</v>
      </c>
      <c r="H167" s="4">
        <v>3.89</v>
      </c>
      <c r="I167" s="4">
        <v>3.58</v>
      </c>
      <c r="J167" s="4">
        <v>3.37</v>
      </c>
      <c r="K167" s="4">
        <v>3.37</v>
      </c>
      <c r="L167" s="4">
        <v>3.38</v>
      </c>
      <c r="M167" s="4">
        <v>3.79</v>
      </c>
      <c r="N167" s="4">
        <v>3.7</v>
      </c>
    </row>
    <row r="168" spans="1:14" x14ac:dyDescent="0.2">
      <c r="A168" s="3">
        <v>45048</v>
      </c>
      <c r="B168" s="4">
        <v>4.5599999999999996</v>
      </c>
      <c r="C168" s="4">
        <v>5.33</v>
      </c>
      <c r="D168" s="4">
        <v>5.24</v>
      </c>
      <c r="E168" s="4">
        <v>5.19</v>
      </c>
      <c r="F168" s="4">
        <v>5.0599999999999996</v>
      </c>
      <c r="G168" s="4">
        <v>4.74</v>
      </c>
      <c r="H168" s="4">
        <v>3.97</v>
      </c>
      <c r="I168" s="4">
        <v>3.67</v>
      </c>
      <c r="J168" s="4">
        <v>3.46</v>
      </c>
      <c r="K168" s="4">
        <v>3.44</v>
      </c>
      <c r="L168" s="4">
        <v>3.44</v>
      </c>
      <c r="M168" s="4">
        <v>3.82</v>
      </c>
      <c r="N168" s="4">
        <v>3.72</v>
      </c>
    </row>
    <row r="169" spans="1:14" x14ac:dyDescent="0.2">
      <c r="A169" s="3">
        <v>45047</v>
      </c>
      <c r="B169" s="4">
        <v>4.49</v>
      </c>
      <c r="C169" s="4">
        <v>5.17</v>
      </c>
      <c r="D169" s="4">
        <v>5.27</v>
      </c>
      <c r="E169" s="4">
        <v>5.22</v>
      </c>
      <c r="F169" s="4">
        <v>5.14</v>
      </c>
      <c r="G169" s="4">
        <v>4.8600000000000003</v>
      </c>
      <c r="H169" s="4">
        <v>4.1399999999999997</v>
      </c>
      <c r="I169" s="4">
        <v>3.85</v>
      </c>
      <c r="J169" s="4">
        <v>3.64</v>
      </c>
      <c r="K169" s="4">
        <v>3.62</v>
      </c>
      <c r="L169" s="4">
        <v>3.59</v>
      </c>
      <c r="M169" s="4">
        <v>3.95</v>
      </c>
      <c r="N169" s="4">
        <v>3.84</v>
      </c>
    </row>
    <row r="170" spans="1:14" x14ac:dyDescent="0.2">
      <c r="A170" s="3">
        <v>45044</v>
      </c>
      <c r="B170" s="4">
        <v>4.3499999999999996</v>
      </c>
      <c r="C170" s="4">
        <v>5.14</v>
      </c>
      <c r="D170" s="4">
        <v>5.0999999999999996</v>
      </c>
      <c r="E170" s="4">
        <v>5.2</v>
      </c>
      <c r="F170" s="4">
        <v>5.0599999999999996</v>
      </c>
      <c r="G170" s="4">
        <v>4.8</v>
      </c>
      <c r="H170" s="4">
        <v>4.04</v>
      </c>
      <c r="I170" s="4">
        <v>3.75</v>
      </c>
      <c r="J170" s="4">
        <v>3.51</v>
      </c>
      <c r="K170" s="4">
        <v>3.49</v>
      </c>
      <c r="L170" s="4">
        <v>3.44</v>
      </c>
      <c r="M170" s="4">
        <v>3.8</v>
      </c>
      <c r="N170" s="4">
        <v>3.67</v>
      </c>
    </row>
    <row r="171" spans="1:14" x14ac:dyDescent="0.2">
      <c r="A171" s="3">
        <v>45043</v>
      </c>
      <c r="B171" s="4">
        <v>4.2699999999999996</v>
      </c>
      <c r="C171" s="4">
        <v>5.13</v>
      </c>
      <c r="D171" s="4">
        <v>5.18</v>
      </c>
      <c r="E171" s="4">
        <v>5.21</v>
      </c>
      <c r="F171" s="4">
        <v>5.05</v>
      </c>
      <c r="G171" s="4">
        <v>4.78</v>
      </c>
      <c r="H171" s="4">
        <v>4.07</v>
      </c>
      <c r="I171" s="4">
        <v>3.82</v>
      </c>
      <c r="J171" s="4">
        <v>3.6</v>
      </c>
      <c r="K171" s="4">
        <v>3.57</v>
      </c>
      <c r="L171" s="4">
        <v>3.53</v>
      </c>
      <c r="M171" s="4">
        <v>3.88</v>
      </c>
      <c r="N171" s="4">
        <v>3.76</v>
      </c>
    </row>
    <row r="172" spans="1:14" x14ac:dyDescent="0.2">
      <c r="A172" s="3">
        <v>45042</v>
      </c>
      <c r="B172" s="4">
        <v>3.91</v>
      </c>
      <c r="C172" s="4">
        <v>5.07</v>
      </c>
      <c r="D172" s="4">
        <v>5.16</v>
      </c>
      <c r="E172" s="4">
        <v>5.17</v>
      </c>
      <c r="F172" s="4">
        <v>5</v>
      </c>
      <c r="G172" s="4">
        <v>4.6399999999999997</v>
      </c>
      <c r="H172" s="4">
        <v>3.9</v>
      </c>
      <c r="I172" s="4">
        <v>3.65</v>
      </c>
      <c r="J172" s="4">
        <v>3.46</v>
      </c>
      <c r="K172" s="4">
        <v>3.45</v>
      </c>
      <c r="L172" s="4">
        <v>3.43</v>
      </c>
      <c r="M172" s="4">
        <v>3.81</v>
      </c>
      <c r="N172" s="4">
        <v>3.7</v>
      </c>
    </row>
    <row r="173" spans="1:14" x14ac:dyDescent="0.2">
      <c r="A173" s="3">
        <v>45041</v>
      </c>
      <c r="B173" s="4">
        <v>4.1100000000000003</v>
      </c>
      <c r="C173" s="4">
        <v>5.05</v>
      </c>
      <c r="D173" s="4">
        <v>5.12</v>
      </c>
      <c r="E173" s="4">
        <v>5.1100000000000003</v>
      </c>
      <c r="F173" s="4">
        <v>4.9800000000000004</v>
      </c>
      <c r="G173" s="4">
        <v>4.5999999999999996</v>
      </c>
      <c r="H173" s="4">
        <v>3.86</v>
      </c>
      <c r="I173" s="4">
        <v>3.62</v>
      </c>
      <c r="J173" s="4">
        <v>3.43</v>
      </c>
      <c r="K173" s="4">
        <v>3.42</v>
      </c>
      <c r="L173" s="4">
        <v>3.4</v>
      </c>
      <c r="M173" s="4">
        <v>3.77</v>
      </c>
      <c r="N173" s="4">
        <v>3.65</v>
      </c>
    </row>
    <row r="174" spans="1:14" x14ac:dyDescent="0.2">
      <c r="A174" s="3">
        <v>45040</v>
      </c>
      <c r="B174" s="4">
        <v>3.54</v>
      </c>
      <c r="C174" s="4">
        <v>5.09</v>
      </c>
      <c r="D174" s="4">
        <v>5.2</v>
      </c>
      <c r="E174" s="4">
        <v>5.15</v>
      </c>
      <c r="F174" s="4">
        <v>5.0599999999999996</v>
      </c>
      <c r="G174" s="4">
        <v>4.76</v>
      </c>
      <c r="H174" s="4">
        <v>4.12</v>
      </c>
      <c r="I174" s="4">
        <v>3.84</v>
      </c>
      <c r="J174" s="4">
        <v>3.6</v>
      </c>
      <c r="K174" s="4">
        <v>3.56</v>
      </c>
      <c r="L174" s="4">
        <v>3.52</v>
      </c>
      <c r="M174" s="4">
        <v>3.85</v>
      </c>
      <c r="N174" s="4">
        <v>3.73</v>
      </c>
    </row>
    <row r="175" spans="1:14" x14ac:dyDescent="0.2">
      <c r="A175" s="3">
        <v>45037</v>
      </c>
      <c r="B175" s="4">
        <v>3.36</v>
      </c>
      <c r="C175" s="4">
        <v>4.9800000000000004</v>
      </c>
      <c r="D175" s="4">
        <v>5.14</v>
      </c>
      <c r="E175" s="4">
        <v>5.19</v>
      </c>
      <c r="F175" s="4">
        <v>5.07</v>
      </c>
      <c r="G175" s="4">
        <v>4.78</v>
      </c>
      <c r="H175" s="4">
        <v>4.17</v>
      </c>
      <c r="I175" s="4">
        <v>3.89</v>
      </c>
      <c r="J175" s="4">
        <v>3.66</v>
      </c>
      <c r="K175" s="4">
        <v>3.62</v>
      </c>
      <c r="L175" s="4">
        <v>3.57</v>
      </c>
      <c r="M175" s="4">
        <v>3.9</v>
      </c>
      <c r="N175" s="4">
        <v>3.78</v>
      </c>
    </row>
    <row r="176" spans="1:14" x14ac:dyDescent="0.2">
      <c r="A176" s="3">
        <v>45036</v>
      </c>
      <c r="B176" s="4">
        <v>3.4</v>
      </c>
      <c r="C176" s="4">
        <v>5.04</v>
      </c>
      <c r="D176" s="4">
        <v>5.12</v>
      </c>
      <c r="E176" s="4">
        <v>5.17</v>
      </c>
      <c r="F176" s="4">
        <v>5.0599999999999996</v>
      </c>
      <c r="G176" s="4">
        <v>4.7699999999999996</v>
      </c>
      <c r="H176" s="4">
        <v>4.1399999999999997</v>
      </c>
      <c r="I176" s="4">
        <v>3.87</v>
      </c>
      <c r="J176" s="4">
        <v>3.63</v>
      </c>
      <c r="K176" s="4">
        <v>3.59</v>
      </c>
      <c r="L176" s="4">
        <v>3.54</v>
      </c>
      <c r="M176" s="4">
        <v>3.87</v>
      </c>
      <c r="N176" s="4">
        <v>3.75</v>
      </c>
    </row>
    <row r="177" spans="1:14" x14ac:dyDescent="0.2">
      <c r="A177" s="3">
        <v>45035</v>
      </c>
      <c r="B177" s="4">
        <v>3.95</v>
      </c>
      <c r="C177" s="4">
        <v>5.03</v>
      </c>
      <c r="D177" s="4">
        <v>5.16</v>
      </c>
      <c r="E177" s="4">
        <v>5.22</v>
      </c>
      <c r="F177" s="4">
        <v>5.0999999999999996</v>
      </c>
      <c r="G177" s="4">
        <v>4.84</v>
      </c>
      <c r="H177" s="4">
        <v>4.24</v>
      </c>
      <c r="I177" s="4">
        <v>3.97</v>
      </c>
      <c r="J177" s="4">
        <v>3.71</v>
      </c>
      <c r="K177" s="4">
        <v>3.66</v>
      </c>
      <c r="L177" s="4">
        <v>3.6</v>
      </c>
      <c r="M177" s="4">
        <v>3.9</v>
      </c>
      <c r="N177" s="4">
        <v>3.79</v>
      </c>
    </row>
    <row r="178" spans="1:14" x14ac:dyDescent="0.2">
      <c r="A178" s="3">
        <v>45034</v>
      </c>
      <c r="B178" s="4">
        <v>3.89</v>
      </c>
      <c r="C178" s="4">
        <v>5.04</v>
      </c>
      <c r="D178" s="4">
        <v>5.2</v>
      </c>
      <c r="E178" s="4">
        <v>5.19</v>
      </c>
      <c r="F178" s="4">
        <v>5.09</v>
      </c>
      <c r="G178" s="4">
        <v>4.8099999999999996</v>
      </c>
      <c r="H178" s="4">
        <v>4.1900000000000004</v>
      </c>
      <c r="I178" s="4">
        <v>3.92</v>
      </c>
      <c r="J178" s="4">
        <v>3.69</v>
      </c>
      <c r="K178" s="4">
        <v>3.63</v>
      </c>
      <c r="L178" s="4">
        <v>3.58</v>
      </c>
      <c r="M178" s="4">
        <v>3.91</v>
      </c>
      <c r="N178" s="4">
        <v>3.79</v>
      </c>
    </row>
    <row r="179" spans="1:14" x14ac:dyDescent="0.2">
      <c r="A179" s="3">
        <v>45033</v>
      </c>
      <c r="B179" s="4">
        <v>4.09</v>
      </c>
      <c r="C179" s="4">
        <v>5.04</v>
      </c>
      <c r="D179" s="4">
        <v>5.21</v>
      </c>
      <c r="E179" s="4">
        <v>5.24</v>
      </c>
      <c r="F179" s="4">
        <v>5.07</v>
      </c>
      <c r="G179" s="4">
        <v>4.8</v>
      </c>
      <c r="H179" s="4">
        <v>4.18</v>
      </c>
      <c r="I179" s="4">
        <v>3.92</v>
      </c>
      <c r="J179" s="4">
        <v>3.69</v>
      </c>
      <c r="K179" s="4">
        <v>3.64</v>
      </c>
      <c r="L179" s="4">
        <v>3.6</v>
      </c>
      <c r="M179" s="4">
        <v>3.92</v>
      </c>
      <c r="N179" s="4">
        <v>3.81</v>
      </c>
    </row>
    <row r="180" spans="1:14" x14ac:dyDescent="0.2">
      <c r="A180" s="3">
        <v>45030</v>
      </c>
      <c r="B180" s="4">
        <v>4.29</v>
      </c>
      <c r="C180" s="4">
        <v>4.9800000000000004</v>
      </c>
      <c r="D180" s="4">
        <v>5.14</v>
      </c>
      <c r="E180" s="4">
        <v>5.16</v>
      </c>
      <c r="F180" s="4">
        <v>5.03</v>
      </c>
      <c r="G180" s="4">
        <v>4.7699999999999996</v>
      </c>
      <c r="H180" s="4">
        <v>4.08</v>
      </c>
      <c r="I180" s="4">
        <v>3.83</v>
      </c>
      <c r="J180" s="4">
        <v>3.6</v>
      </c>
      <c r="K180" s="4">
        <v>3.56</v>
      </c>
      <c r="L180" s="4">
        <v>3.52</v>
      </c>
      <c r="M180" s="4">
        <v>3.85</v>
      </c>
      <c r="N180" s="4">
        <v>3.74</v>
      </c>
    </row>
    <row r="181" spans="1:14" x14ac:dyDescent="0.2">
      <c r="A181" s="3">
        <v>45029</v>
      </c>
      <c r="B181" s="4">
        <v>4.08</v>
      </c>
      <c r="C181" s="4">
        <v>4.96</v>
      </c>
      <c r="D181" s="4">
        <v>5.0999999999999996</v>
      </c>
      <c r="E181" s="4">
        <v>5.0999999999999996</v>
      </c>
      <c r="F181" s="4">
        <v>4.95</v>
      </c>
      <c r="G181" s="4">
        <v>4.66</v>
      </c>
      <c r="H181" s="4">
        <v>3.96</v>
      </c>
      <c r="I181" s="4">
        <v>3.7</v>
      </c>
      <c r="J181" s="4">
        <v>3.51</v>
      </c>
      <c r="K181" s="4">
        <v>3.48</v>
      </c>
      <c r="L181" s="4">
        <v>3.45</v>
      </c>
      <c r="M181" s="4">
        <v>3.8</v>
      </c>
      <c r="N181" s="4">
        <v>3.69</v>
      </c>
    </row>
    <row r="182" spans="1:14" x14ac:dyDescent="0.2">
      <c r="A182" s="3">
        <v>45028</v>
      </c>
      <c r="B182" s="4">
        <v>4.2699999999999996</v>
      </c>
      <c r="C182" s="4">
        <v>4.8899999999999997</v>
      </c>
      <c r="D182" s="4">
        <v>5.0199999999999996</v>
      </c>
      <c r="E182" s="4">
        <v>5.0999999999999996</v>
      </c>
      <c r="F182" s="4">
        <v>4.9800000000000004</v>
      </c>
      <c r="G182" s="4">
        <v>4.6399999999999997</v>
      </c>
      <c r="H182" s="4">
        <v>3.95</v>
      </c>
      <c r="I182" s="4">
        <v>3.68</v>
      </c>
      <c r="J182" s="4">
        <v>3.46</v>
      </c>
      <c r="K182" s="4">
        <v>3.43</v>
      </c>
      <c r="L182" s="4">
        <v>3.41</v>
      </c>
      <c r="M182" s="4">
        <v>3.75</v>
      </c>
      <c r="N182" s="4">
        <v>3.64</v>
      </c>
    </row>
    <row r="183" spans="1:14" x14ac:dyDescent="0.2">
      <c r="A183" s="3">
        <v>45027</v>
      </c>
      <c r="B183" s="4">
        <v>4.2699999999999996</v>
      </c>
      <c r="C183" s="4">
        <v>4.8899999999999997</v>
      </c>
      <c r="D183" s="4">
        <v>5.04</v>
      </c>
      <c r="E183" s="4">
        <v>5.0599999999999996</v>
      </c>
      <c r="F183" s="4">
        <v>4.99</v>
      </c>
      <c r="G183" s="4">
        <v>4.67</v>
      </c>
      <c r="H183" s="4">
        <v>4.03</v>
      </c>
      <c r="I183" s="4">
        <v>3.76</v>
      </c>
      <c r="J183" s="4">
        <v>3.54</v>
      </c>
      <c r="K183" s="4">
        <v>3.48</v>
      </c>
      <c r="L183" s="4">
        <v>3.43</v>
      </c>
      <c r="M183" s="4">
        <v>3.75</v>
      </c>
      <c r="N183" s="4">
        <v>3.62</v>
      </c>
    </row>
    <row r="184" spans="1:14" x14ac:dyDescent="0.2">
      <c r="A184" s="3">
        <v>45026</v>
      </c>
      <c r="B184" s="4">
        <v>4.53</v>
      </c>
      <c r="C184" s="4">
        <v>4.8899999999999997</v>
      </c>
      <c r="D184" s="4">
        <v>5.08</v>
      </c>
      <c r="E184" s="4">
        <v>5.08</v>
      </c>
      <c r="F184" s="4">
        <v>4.9800000000000004</v>
      </c>
      <c r="G184" s="4">
        <v>4.6500000000000004</v>
      </c>
      <c r="H184" s="4">
        <v>4</v>
      </c>
      <c r="I184" s="4">
        <v>3.75</v>
      </c>
      <c r="J184" s="4">
        <v>3.52</v>
      </c>
      <c r="K184" s="4">
        <v>3.47</v>
      </c>
      <c r="L184" s="4">
        <v>3.41</v>
      </c>
      <c r="M184" s="4">
        <v>3.74</v>
      </c>
      <c r="N184" s="4">
        <v>3.62</v>
      </c>
    </row>
    <row r="185" spans="1:14" x14ac:dyDescent="0.2">
      <c r="A185" s="3">
        <v>45023</v>
      </c>
      <c r="B185" s="4">
        <v>4.5599999999999996</v>
      </c>
      <c r="C185" s="4">
        <v>4.9000000000000004</v>
      </c>
      <c r="D185" s="4">
        <v>4.95</v>
      </c>
      <c r="E185" s="4">
        <v>5.07</v>
      </c>
      <c r="F185" s="4">
        <v>4.95</v>
      </c>
      <c r="G185" s="4">
        <v>4.6100000000000003</v>
      </c>
      <c r="H185" s="4">
        <v>3.97</v>
      </c>
      <c r="I185" s="4">
        <v>3.72</v>
      </c>
      <c r="J185" s="4">
        <v>3.49</v>
      </c>
      <c r="K185" s="4">
        <v>3.45</v>
      </c>
      <c r="L185" s="4">
        <v>3.39</v>
      </c>
      <c r="M185" s="4">
        <v>3.73</v>
      </c>
      <c r="N185" s="4">
        <v>3.61</v>
      </c>
    </row>
    <row r="186" spans="1:14" x14ac:dyDescent="0.2">
      <c r="A186" s="3">
        <v>45022</v>
      </c>
      <c r="B186" s="4">
        <v>4.57</v>
      </c>
      <c r="C186" s="4">
        <v>4.8499999999999996</v>
      </c>
      <c r="D186" s="4">
        <v>4.91</v>
      </c>
      <c r="E186" s="4">
        <v>4.9800000000000004</v>
      </c>
      <c r="F186" s="4">
        <v>4.93</v>
      </c>
      <c r="G186" s="4">
        <v>4.51</v>
      </c>
      <c r="H186" s="4">
        <v>3.82</v>
      </c>
      <c r="I186" s="4">
        <v>3.59</v>
      </c>
      <c r="J186" s="4">
        <v>3.37</v>
      </c>
      <c r="K186" s="4">
        <v>3.34</v>
      </c>
      <c r="L186" s="4">
        <v>3.3</v>
      </c>
      <c r="M186" s="4">
        <v>3.66</v>
      </c>
      <c r="N186" s="4">
        <v>3.54</v>
      </c>
    </row>
    <row r="187" spans="1:14" x14ac:dyDescent="0.2">
      <c r="A187" s="3">
        <v>45021</v>
      </c>
      <c r="B187" s="4">
        <v>4.62</v>
      </c>
      <c r="C187" s="4">
        <v>4.7699999999999996</v>
      </c>
      <c r="D187" s="4">
        <v>4.8600000000000003</v>
      </c>
      <c r="E187" s="4">
        <v>4.9000000000000004</v>
      </c>
      <c r="F187" s="4">
        <v>4.82</v>
      </c>
      <c r="G187" s="4">
        <v>4.43</v>
      </c>
      <c r="H187" s="4">
        <v>3.79</v>
      </c>
      <c r="I187" s="4">
        <v>3.55</v>
      </c>
      <c r="J187" s="4">
        <v>3.36</v>
      </c>
      <c r="K187" s="4">
        <v>3.34</v>
      </c>
      <c r="L187" s="4">
        <v>3.3</v>
      </c>
      <c r="M187" s="4">
        <v>3.67</v>
      </c>
      <c r="N187" s="4">
        <v>3.56</v>
      </c>
    </row>
    <row r="188" spans="1:14" x14ac:dyDescent="0.2">
      <c r="A188" s="3">
        <v>45020</v>
      </c>
      <c r="B188" s="4">
        <v>4.66</v>
      </c>
      <c r="C188" s="4">
        <v>4.8</v>
      </c>
      <c r="D188" s="4">
        <v>4.88</v>
      </c>
      <c r="E188" s="4">
        <v>4.9000000000000004</v>
      </c>
      <c r="F188" s="4">
        <v>4.8</v>
      </c>
      <c r="G188" s="4">
        <v>4.5</v>
      </c>
      <c r="H188" s="4">
        <v>3.84</v>
      </c>
      <c r="I188" s="4">
        <v>3.6</v>
      </c>
      <c r="J188" s="4">
        <v>3.39</v>
      </c>
      <c r="K188" s="4">
        <v>3.38</v>
      </c>
      <c r="L188" s="4">
        <v>3.35</v>
      </c>
      <c r="M188" s="4">
        <v>3.72</v>
      </c>
      <c r="N188" s="4">
        <v>3.6</v>
      </c>
    </row>
    <row r="189" spans="1:14" x14ac:dyDescent="0.2">
      <c r="A189" s="3">
        <v>45019</v>
      </c>
      <c r="B189" s="4">
        <v>4.7</v>
      </c>
      <c r="C189" s="4">
        <v>4.79</v>
      </c>
      <c r="D189" s="4">
        <v>4.9000000000000004</v>
      </c>
      <c r="E189" s="4">
        <v>4.9800000000000004</v>
      </c>
      <c r="F189" s="4">
        <v>4.88</v>
      </c>
      <c r="G189" s="4">
        <v>4.5999999999999996</v>
      </c>
      <c r="H189" s="4">
        <v>3.97</v>
      </c>
      <c r="I189" s="4">
        <v>3.73</v>
      </c>
      <c r="J189" s="4">
        <v>3.52</v>
      </c>
      <c r="K189" s="4">
        <v>3.48</v>
      </c>
      <c r="L189" s="4">
        <v>3.43</v>
      </c>
      <c r="M189" s="4">
        <v>3.78</v>
      </c>
      <c r="N189" s="4">
        <v>3.64</v>
      </c>
    </row>
    <row r="190" spans="1:14" x14ac:dyDescent="0.2">
      <c r="A190" s="3">
        <v>45016</v>
      </c>
      <c r="B190" s="4">
        <v>4.74</v>
      </c>
      <c r="C190" s="4">
        <v>4.79</v>
      </c>
      <c r="D190" s="4">
        <v>4.8499999999999996</v>
      </c>
      <c r="E190" s="4">
        <v>4.97</v>
      </c>
      <c r="F190" s="4">
        <v>4.9400000000000004</v>
      </c>
      <c r="G190" s="4">
        <v>4.6399999999999997</v>
      </c>
      <c r="H190" s="4">
        <v>4.0599999999999996</v>
      </c>
      <c r="I190" s="4">
        <v>3.81</v>
      </c>
      <c r="J190" s="4">
        <v>3.6</v>
      </c>
      <c r="K190" s="4">
        <v>3.55</v>
      </c>
      <c r="L190" s="4">
        <v>3.48</v>
      </c>
      <c r="M190" s="4">
        <v>3.81</v>
      </c>
      <c r="N190" s="4">
        <v>3.67</v>
      </c>
    </row>
    <row r="191" spans="1:14" x14ac:dyDescent="0.2">
      <c r="A191" s="3">
        <v>45015</v>
      </c>
      <c r="B191" s="4">
        <v>4.74</v>
      </c>
      <c r="C191" s="4">
        <v>4.7699999999999996</v>
      </c>
      <c r="D191" s="4">
        <v>4.97</v>
      </c>
      <c r="E191" s="4">
        <v>4.9400000000000004</v>
      </c>
      <c r="F191" s="4">
        <v>4.92</v>
      </c>
      <c r="G191" s="4">
        <v>4.63</v>
      </c>
      <c r="H191" s="4">
        <v>4.0999999999999996</v>
      </c>
      <c r="I191" s="4">
        <v>3.87</v>
      </c>
      <c r="J191" s="4">
        <v>3.66</v>
      </c>
      <c r="K191" s="4">
        <v>3.61</v>
      </c>
      <c r="L191" s="4">
        <v>3.55</v>
      </c>
      <c r="M191" s="4">
        <v>3.88</v>
      </c>
      <c r="N191" s="4">
        <v>3.74</v>
      </c>
    </row>
    <row r="192" spans="1:14" x14ac:dyDescent="0.2">
      <c r="A192" s="3">
        <v>45014</v>
      </c>
      <c r="B192" s="4">
        <v>4.34</v>
      </c>
      <c r="C192" s="4">
        <v>4.5</v>
      </c>
      <c r="D192" s="4">
        <v>4.8</v>
      </c>
      <c r="E192" s="4">
        <v>4.91</v>
      </c>
      <c r="F192" s="4">
        <v>4.92</v>
      </c>
      <c r="G192" s="4">
        <v>4.59</v>
      </c>
      <c r="H192" s="4">
        <v>4.08</v>
      </c>
      <c r="I192" s="4">
        <v>3.87</v>
      </c>
      <c r="J192" s="4">
        <v>3.67</v>
      </c>
      <c r="K192" s="4">
        <v>3.62</v>
      </c>
      <c r="L192" s="4">
        <v>3.57</v>
      </c>
      <c r="M192" s="4">
        <v>3.91</v>
      </c>
      <c r="N192" s="4">
        <v>3.78</v>
      </c>
    </row>
    <row r="193" spans="1:14" x14ac:dyDescent="0.2">
      <c r="A193" s="3">
        <v>45013</v>
      </c>
      <c r="B193" s="4">
        <v>4.24</v>
      </c>
      <c r="C193" s="4">
        <v>4.3899999999999997</v>
      </c>
      <c r="D193" s="4">
        <v>4.8</v>
      </c>
      <c r="E193" s="4">
        <v>4.8600000000000003</v>
      </c>
      <c r="F193" s="4">
        <v>4.9000000000000004</v>
      </c>
      <c r="G193" s="4">
        <v>4.55</v>
      </c>
      <c r="H193" s="4">
        <v>4.0199999999999996</v>
      </c>
      <c r="I193" s="4">
        <v>3.84</v>
      </c>
      <c r="J193" s="4">
        <v>3.63</v>
      </c>
      <c r="K193" s="4">
        <v>3.6</v>
      </c>
      <c r="L193" s="4">
        <v>3.55</v>
      </c>
      <c r="M193" s="4">
        <v>3.9</v>
      </c>
      <c r="N193" s="4">
        <v>3.77</v>
      </c>
    </row>
    <row r="194" spans="1:14" x14ac:dyDescent="0.2">
      <c r="A194" s="3">
        <v>45012</v>
      </c>
      <c r="B194" s="4">
        <v>4.22</v>
      </c>
      <c r="C194" s="4">
        <v>4.47</v>
      </c>
      <c r="D194" s="4">
        <v>4.91</v>
      </c>
      <c r="E194" s="4">
        <v>4.9000000000000004</v>
      </c>
      <c r="F194" s="4">
        <v>4.8600000000000003</v>
      </c>
      <c r="G194" s="4">
        <v>4.51</v>
      </c>
      <c r="H194" s="4">
        <v>3.94</v>
      </c>
      <c r="I194" s="4">
        <v>3.79</v>
      </c>
      <c r="J194" s="4">
        <v>3.59</v>
      </c>
      <c r="K194" s="4">
        <v>3.57</v>
      </c>
      <c r="L194" s="4">
        <v>3.53</v>
      </c>
      <c r="M194" s="4">
        <v>3.9</v>
      </c>
      <c r="N194" s="4">
        <v>3.77</v>
      </c>
    </row>
    <row r="195" spans="1:14" x14ac:dyDescent="0.2">
      <c r="A195" s="3">
        <v>45009</v>
      </c>
      <c r="B195" s="4">
        <v>4.28</v>
      </c>
      <c r="C195" s="4">
        <v>4.4800000000000004</v>
      </c>
      <c r="D195" s="4">
        <v>4.74</v>
      </c>
      <c r="E195" s="4">
        <v>4.78</v>
      </c>
      <c r="F195" s="4">
        <v>4.76</v>
      </c>
      <c r="G195" s="4">
        <v>4.32</v>
      </c>
      <c r="H195" s="4">
        <v>3.76</v>
      </c>
      <c r="I195" s="4">
        <v>3.58</v>
      </c>
      <c r="J195" s="4">
        <v>3.41</v>
      </c>
      <c r="K195" s="4">
        <v>3.4</v>
      </c>
      <c r="L195" s="4">
        <v>3.38</v>
      </c>
      <c r="M195" s="4">
        <v>3.77</v>
      </c>
      <c r="N195" s="4">
        <v>3.64</v>
      </c>
    </row>
    <row r="196" spans="1:14" x14ac:dyDescent="0.2">
      <c r="A196" s="3">
        <v>45008</v>
      </c>
      <c r="B196" s="4">
        <v>4.26</v>
      </c>
      <c r="C196" s="4">
        <v>4.4800000000000004</v>
      </c>
      <c r="D196" s="4">
        <v>4.7300000000000004</v>
      </c>
      <c r="E196" s="4">
        <v>4.84</v>
      </c>
      <c r="F196" s="4">
        <v>4.8</v>
      </c>
      <c r="G196" s="4">
        <v>4.38</v>
      </c>
      <c r="H196" s="4">
        <v>3.76</v>
      </c>
      <c r="I196" s="4">
        <v>3.57</v>
      </c>
      <c r="J196" s="4">
        <v>3.39</v>
      </c>
      <c r="K196" s="4">
        <v>3.39</v>
      </c>
      <c r="L196" s="4">
        <v>3.38</v>
      </c>
      <c r="M196" s="4">
        <v>3.78</v>
      </c>
      <c r="N196" s="4">
        <v>3.66</v>
      </c>
    </row>
    <row r="197" spans="1:14" x14ac:dyDescent="0.2">
      <c r="A197" s="3">
        <v>45007</v>
      </c>
      <c r="B197" s="4">
        <v>4.16</v>
      </c>
      <c r="C197" s="4">
        <v>4.5599999999999996</v>
      </c>
      <c r="D197" s="4">
        <v>4.79</v>
      </c>
      <c r="E197" s="4">
        <v>4.91</v>
      </c>
      <c r="F197" s="4">
        <v>4.95</v>
      </c>
      <c r="G197" s="4">
        <v>4.5599999999999996</v>
      </c>
      <c r="H197" s="4">
        <v>3.96</v>
      </c>
      <c r="I197" s="4">
        <v>3.76</v>
      </c>
      <c r="J197" s="4">
        <v>3.54</v>
      </c>
      <c r="K197" s="4">
        <v>3.53</v>
      </c>
      <c r="L197" s="4">
        <v>3.48</v>
      </c>
      <c r="M197" s="4">
        <v>3.83</v>
      </c>
      <c r="N197" s="4">
        <v>3.68</v>
      </c>
    </row>
    <row r="198" spans="1:14" x14ac:dyDescent="0.2">
      <c r="A198" s="3">
        <v>45006</v>
      </c>
      <c r="B198" s="4">
        <v>4.07</v>
      </c>
      <c r="C198" s="4">
        <v>4.5</v>
      </c>
      <c r="D198" s="4">
        <v>4.78</v>
      </c>
      <c r="E198" s="4">
        <v>4.8899999999999997</v>
      </c>
      <c r="F198" s="4">
        <v>4.96</v>
      </c>
      <c r="G198" s="4">
        <v>4.68</v>
      </c>
      <c r="H198" s="4">
        <v>4.17</v>
      </c>
      <c r="I198" s="4">
        <v>3.98</v>
      </c>
      <c r="J198" s="4">
        <v>3.73</v>
      </c>
      <c r="K198" s="4">
        <v>3.68</v>
      </c>
      <c r="L198" s="4">
        <v>3.59</v>
      </c>
      <c r="M198" s="4">
        <v>3.9</v>
      </c>
      <c r="N198" s="4">
        <v>3.73</v>
      </c>
    </row>
    <row r="199" spans="1:14" x14ac:dyDescent="0.2">
      <c r="A199" s="3">
        <v>45005</v>
      </c>
      <c r="B199" s="4">
        <v>4.34</v>
      </c>
      <c r="C199" s="4">
        <v>4.5599999999999996</v>
      </c>
      <c r="D199" s="4">
        <v>4.8099999999999996</v>
      </c>
      <c r="E199" s="4">
        <v>4.84</v>
      </c>
      <c r="F199" s="4">
        <v>4.8</v>
      </c>
      <c r="G199" s="4">
        <v>4.34</v>
      </c>
      <c r="H199" s="4">
        <v>3.92</v>
      </c>
      <c r="I199" s="4">
        <v>3.77</v>
      </c>
      <c r="J199" s="4">
        <v>3.56</v>
      </c>
      <c r="K199" s="4">
        <v>3.55</v>
      </c>
      <c r="L199" s="4">
        <v>3.47</v>
      </c>
      <c r="M199" s="4">
        <v>3.83</v>
      </c>
      <c r="N199" s="4">
        <v>3.65</v>
      </c>
    </row>
    <row r="200" spans="1:14" x14ac:dyDescent="0.2">
      <c r="A200" s="3">
        <v>45002</v>
      </c>
      <c r="B200" s="4">
        <v>4.3099999999999996</v>
      </c>
      <c r="C200" s="4">
        <v>4.51</v>
      </c>
      <c r="D200" s="4">
        <v>4.5199999999999996</v>
      </c>
      <c r="E200" s="4">
        <v>4.79</v>
      </c>
      <c r="F200" s="4">
        <v>4.71</v>
      </c>
      <c r="G200" s="4">
        <v>4.26</v>
      </c>
      <c r="H200" s="4">
        <v>3.81</v>
      </c>
      <c r="I200" s="4">
        <v>3.68</v>
      </c>
      <c r="J200" s="4">
        <v>3.44</v>
      </c>
      <c r="K200" s="4">
        <v>3.45</v>
      </c>
      <c r="L200" s="4">
        <v>3.39</v>
      </c>
      <c r="M200" s="4">
        <v>3.76</v>
      </c>
      <c r="N200" s="4">
        <v>3.6</v>
      </c>
    </row>
    <row r="201" spans="1:14" x14ac:dyDescent="0.2">
      <c r="A201" s="3">
        <v>45001</v>
      </c>
      <c r="B201" s="4">
        <v>4.22</v>
      </c>
      <c r="C201" s="4">
        <v>4.66</v>
      </c>
      <c r="D201" s="4">
        <v>4.74</v>
      </c>
      <c r="E201" s="4">
        <v>4.92</v>
      </c>
      <c r="F201" s="4">
        <v>4.9400000000000004</v>
      </c>
      <c r="G201" s="4">
        <v>4.49</v>
      </c>
      <c r="H201" s="4">
        <v>4.1399999999999997</v>
      </c>
      <c r="I201" s="4">
        <v>3.99</v>
      </c>
      <c r="J201" s="4">
        <v>3.72</v>
      </c>
      <c r="K201" s="4">
        <v>3.67</v>
      </c>
      <c r="L201" s="4">
        <v>3.56</v>
      </c>
      <c r="M201" s="4">
        <v>3.87</v>
      </c>
      <c r="N201" s="4">
        <v>3.71</v>
      </c>
    </row>
    <row r="202" spans="1:14" x14ac:dyDescent="0.2">
      <c r="A202" s="3">
        <v>45000</v>
      </c>
      <c r="B202" s="4">
        <v>4.2300000000000004</v>
      </c>
      <c r="C202" s="4">
        <v>4.5599999999999996</v>
      </c>
      <c r="D202" s="4">
        <v>4.75</v>
      </c>
      <c r="E202" s="4">
        <v>4.8499999999999996</v>
      </c>
      <c r="F202" s="4">
        <v>4.7300000000000004</v>
      </c>
      <c r="G202" s="4">
        <v>4.1900000000000004</v>
      </c>
      <c r="H202" s="4">
        <v>3.93</v>
      </c>
      <c r="I202" s="4">
        <v>3.83</v>
      </c>
      <c r="J202" s="4">
        <v>3.59</v>
      </c>
      <c r="K202" s="4">
        <v>3.57</v>
      </c>
      <c r="L202" s="4">
        <v>3.51</v>
      </c>
      <c r="M202" s="4">
        <v>3.82</v>
      </c>
      <c r="N202" s="4">
        <v>3.7</v>
      </c>
    </row>
    <row r="203" spans="1:14" x14ac:dyDescent="0.2">
      <c r="A203" s="3">
        <v>44999</v>
      </c>
      <c r="B203" s="4">
        <v>4.47</v>
      </c>
      <c r="C203" s="4">
        <v>4.7699999999999996</v>
      </c>
      <c r="D203" s="4">
        <v>4.88</v>
      </c>
      <c r="E203" s="4">
        <v>4.95</v>
      </c>
      <c r="F203" s="4">
        <v>4.93</v>
      </c>
      <c r="G203" s="4">
        <v>4.45</v>
      </c>
      <c r="H203" s="4">
        <v>4.2</v>
      </c>
      <c r="I203" s="4">
        <v>4.05</v>
      </c>
      <c r="J203" s="4">
        <v>3.78</v>
      </c>
      <c r="K203" s="4">
        <v>3.74</v>
      </c>
      <c r="L203" s="4">
        <v>3.64</v>
      </c>
      <c r="M203" s="4">
        <v>3.91</v>
      </c>
      <c r="N203" s="4">
        <v>3.77</v>
      </c>
    </row>
    <row r="204" spans="1:14" x14ac:dyDescent="0.2">
      <c r="A204" s="3">
        <v>44998</v>
      </c>
      <c r="B204" s="4">
        <v>4.62</v>
      </c>
      <c r="C204" s="4">
        <v>4.8099999999999996</v>
      </c>
      <c r="D204" s="4">
        <v>4.87</v>
      </c>
      <c r="E204" s="4">
        <v>4.87</v>
      </c>
      <c r="F204" s="4">
        <v>4.8099999999999996</v>
      </c>
      <c r="G204" s="4">
        <v>4.3</v>
      </c>
      <c r="H204" s="4">
        <v>4.03</v>
      </c>
      <c r="I204" s="4">
        <v>3.88</v>
      </c>
      <c r="J204" s="4">
        <v>3.68</v>
      </c>
      <c r="K204" s="4">
        <v>3.65</v>
      </c>
      <c r="L204" s="4">
        <v>3.55</v>
      </c>
      <c r="M204" s="4">
        <v>3.85</v>
      </c>
      <c r="N204" s="4">
        <v>3.7</v>
      </c>
    </row>
    <row r="205" spans="1:14" x14ac:dyDescent="0.2">
      <c r="A205" s="3">
        <v>44995</v>
      </c>
      <c r="B205" s="4">
        <v>4.8099999999999996</v>
      </c>
      <c r="C205" s="4">
        <v>4.91</v>
      </c>
      <c r="D205" s="4">
        <v>5.01</v>
      </c>
      <c r="E205" s="4">
        <v>5.08</v>
      </c>
      <c r="F205" s="4">
        <v>5.17</v>
      </c>
      <c r="G205" s="4">
        <v>4.9000000000000004</v>
      </c>
      <c r="H205" s="4">
        <v>4.5999999999999996</v>
      </c>
      <c r="I205" s="4">
        <v>4.3099999999999996</v>
      </c>
      <c r="J205" s="4">
        <v>3.96</v>
      </c>
      <c r="K205" s="4">
        <v>3.86</v>
      </c>
      <c r="L205" s="4">
        <v>3.7</v>
      </c>
      <c r="M205" s="4">
        <v>3.9</v>
      </c>
      <c r="N205" s="4">
        <v>3.7</v>
      </c>
    </row>
    <row r="206" spans="1:14" x14ac:dyDescent="0.2">
      <c r="A206" s="3">
        <v>44994</v>
      </c>
      <c r="B206" s="4">
        <v>4.83</v>
      </c>
      <c r="C206" s="4">
        <v>4.96</v>
      </c>
      <c r="D206" s="4">
        <v>5.05</v>
      </c>
      <c r="E206" s="4">
        <v>5.19</v>
      </c>
      <c r="F206" s="4">
        <v>5.32</v>
      </c>
      <c r="G206" s="4">
        <v>5.18</v>
      </c>
      <c r="H206" s="4">
        <v>4.9000000000000004</v>
      </c>
      <c r="I206" s="4">
        <v>4.5599999999999996</v>
      </c>
      <c r="J206" s="4">
        <v>4.22</v>
      </c>
      <c r="K206" s="4">
        <v>4.0999999999999996</v>
      </c>
      <c r="L206" s="4">
        <v>3.93</v>
      </c>
      <c r="M206" s="4">
        <v>4.09</v>
      </c>
      <c r="N206" s="4">
        <v>3.88</v>
      </c>
    </row>
    <row r="207" spans="1:14" x14ac:dyDescent="0.2">
      <c r="A207" s="3">
        <v>44993</v>
      </c>
      <c r="B207" s="4">
        <v>4.7699999999999996</v>
      </c>
      <c r="C207" s="4">
        <v>4.88</v>
      </c>
      <c r="D207" s="4">
        <v>5.0599999999999996</v>
      </c>
      <c r="E207" s="4">
        <v>5.21</v>
      </c>
      <c r="F207" s="4">
        <v>5.34</v>
      </c>
      <c r="G207" s="4">
        <v>5.25</v>
      </c>
      <c r="H207" s="4">
        <v>5.05</v>
      </c>
      <c r="I207" s="4">
        <v>4.71</v>
      </c>
      <c r="J207" s="4">
        <v>4.34</v>
      </c>
      <c r="K207" s="4">
        <v>4.1900000000000004</v>
      </c>
      <c r="L207" s="4">
        <v>3.98</v>
      </c>
      <c r="M207" s="4">
        <v>4.1100000000000003</v>
      </c>
      <c r="N207" s="4">
        <v>3.88</v>
      </c>
    </row>
    <row r="208" spans="1:14" x14ac:dyDescent="0.2">
      <c r="A208" s="3">
        <v>44992</v>
      </c>
      <c r="B208" s="4">
        <v>4.8</v>
      </c>
      <c r="C208" s="4">
        <v>4.88</v>
      </c>
      <c r="D208" s="4">
        <v>5.04</v>
      </c>
      <c r="E208" s="4">
        <v>5.12</v>
      </c>
      <c r="F208" s="4">
        <v>5.32</v>
      </c>
      <c r="G208" s="4">
        <v>5.22</v>
      </c>
      <c r="H208" s="4">
        <v>5</v>
      </c>
      <c r="I208" s="4">
        <v>4.66</v>
      </c>
      <c r="J208" s="4">
        <v>4.3099999999999996</v>
      </c>
      <c r="K208" s="4">
        <v>4.17</v>
      </c>
      <c r="L208" s="4">
        <v>3.97</v>
      </c>
      <c r="M208" s="4">
        <v>4.1100000000000003</v>
      </c>
      <c r="N208" s="4">
        <v>3.88</v>
      </c>
    </row>
    <row r="209" spans="1:14" x14ac:dyDescent="0.2">
      <c r="A209" s="3">
        <v>44991</v>
      </c>
      <c r="B209" s="4">
        <v>4.75</v>
      </c>
      <c r="C209" s="4">
        <v>4.79</v>
      </c>
      <c r="D209" s="4">
        <v>4.93</v>
      </c>
      <c r="E209" s="4">
        <v>5.0199999999999996</v>
      </c>
      <c r="F209" s="4">
        <v>5.22</v>
      </c>
      <c r="G209" s="4">
        <v>5.05</v>
      </c>
      <c r="H209" s="4">
        <v>4.8899999999999997</v>
      </c>
      <c r="I209" s="4">
        <v>4.6100000000000003</v>
      </c>
      <c r="J209" s="4">
        <v>4.2699999999999996</v>
      </c>
      <c r="K209" s="4">
        <v>4.16</v>
      </c>
      <c r="L209" s="4">
        <v>3.98</v>
      </c>
      <c r="M209" s="4">
        <v>4.1399999999999997</v>
      </c>
      <c r="N209" s="4">
        <v>3.92</v>
      </c>
    </row>
    <row r="210" spans="1:14" x14ac:dyDescent="0.2">
      <c r="A210" s="3">
        <v>44988</v>
      </c>
      <c r="B210" s="4">
        <v>4.75</v>
      </c>
      <c r="C210" s="4">
        <v>4.79</v>
      </c>
      <c r="D210" s="4">
        <v>4.91</v>
      </c>
      <c r="E210" s="4">
        <v>5.01</v>
      </c>
      <c r="F210" s="4">
        <v>5.18</v>
      </c>
      <c r="G210" s="4">
        <v>5.03</v>
      </c>
      <c r="H210" s="4">
        <v>4.8600000000000003</v>
      </c>
      <c r="I210" s="4">
        <v>4.5999999999999996</v>
      </c>
      <c r="J210" s="4">
        <v>4.26</v>
      </c>
      <c r="K210" s="4">
        <v>4.1500000000000004</v>
      </c>
      <c r="L210" s="4">
        <v>3.97</v>
      </c>
      <c r="M210" s="4">
        <v>4.12</v>
      </c>
      <c r="N210" s="4">
        <v>3.9</v>
      </c>
    </row>
    <row r="211" spans="1:14" x14ac:dyDescent="0.2">
      <c r="A211" s="3">
        <v>44987</v>
      </c>
      <c r="B211" s="4">
        <v>4.75</v>
      </c>
      <c r="C211" s="4">
        <v>4.8</v>
      </c>
      <c r="D211" s="4">
        <v>4.91</v>
      </c>
      <c r="E211" s="4">
        <v>5.0199999999999996</v>
      </c>
      <c r="F211" s="4">
        <v>5.18</v>
      </c>
      <c r="G211" s="4">
        <v>5.04</v>
      </c>
      <c r="H211" s="4">
        <v>4.8899999999999997</v>
      </c>
      <c r="I211" s="4">
        <v>4.63</v>
      </c>
      <c r="J211" s="4">
        <v>4.32</v>
      </c>
      <c r="K211" s="4">
        <v>4.24</v>
      </c>
      <c r="L211" s="4">
        <v>4.08</v>
      </c>
      <c r="M211" s="4">
        <v>4.24</v>
      </c>
      <c r="N211" s="4">
        <v>4.03</v>
      </c>
    </row>
    <row r="212" spans="1:14" x14ac:dyDescent="0.2">
      <c r="A212" s="3">
        <v>44986</v>
      </c>
      <c r="B212" s="4">
        <v>4.67</v>
      </c>
      <c r="C212" s="4">
        <v>4.82</v>
      </c>
      <c r="D212" s="4">
        <v>4.9000000000000004</v>
      </c>
      <c r="E212" s="4">
        <v>5.0199999999999996</v>
      </c>
      <c r="F212" s="4">
        <v>5.2</v>
      </c>
      <c r="G212" s="4">
        <v>5.0599999999999996</v>
      </c>
      <c r="H212" s="4">
        <v>4.8899999999999997</v>
      </c>
      <c r="I212" s="4">
        <v>4.6100000000000003</v>
      </c>
      <c r="J212" s="4">
        <v>4.2699999999999996</v>
      </c>
      <c r="K212" s="4">
        <v>4.17</v>
      </c>
      <c r="L212" s="4">
        <v>4.01</v>
      </c>
      <c r="M212" s="4">
        <v>4.17</v>
      </c>
      <c r="N212" s="4">
        <v>3.97</v>
      </c>
    </row>
    <row r="213" spans="1:14" x14ac:dyDescent="0.2">
      <c r="A213" s="3">
        <v>44985</v>
      </c>
      <c r="B213" s="4">
        <v>4.6500000000000004</v>
      </c>
      <c r="C213" s="4">
        <v>4.8099999999999996</v>
      </c>
      <c r="D213" s="4">
        <v>4.88</v>
      </c>
      <c r="E213" s="4">
        <v>5</v>
      </c>
      <c r="F213" s="4">
        <v>5.17</v>
      </c>
      <c r="G213" s="4">
        <v>5.0199999999999996</v>
      </c>
      <c r="H213" s="4">
        <v>4.8099999999999996</v>
      </c>
      <c r="I213" s="4">
        <v>4.51</v>
      </c>
      <c r="J213" s="4">
        <v>4.18</v>
      </c>
      <c r="K213" s="4">
        <v>4.07</v>
      </c>
      <c r="L213" s="4">
        <v>3.92</v>
      </c>
      <c r="M213" s="4">
        <v>4.0999999999999996</v>
      </c>
      <c r="N213" s="4">
        <v>3.93</v>
      </c>
    </row>
    <row r="214" spans="1:14" x14ac:dyDescent="0.2">
      <c r="A214" s="3">
        <v>44984</v>
      </c>
      <c r="B214" s="4">
        <v>4.67</v>
      </c>
      <c r="C214" s="4">
        <v>4.83</v>
      </c>
      <c r="D214" s="4">
        <v>4.8899999999999997</v>
      </c>
      <c r="E214" s="4">
        <v>5.0199999999999996</v>
      </c>
      <c r="F214" s="4">
        <v>5.18</v>
      </c>
      <c r="G214" s="4">
        <v>5.03</v>
      </c>
      <c r="H214" s="4">
        <v>4.78</v>
      </c>
      <c r="I214" s="4">
        <v>4.49</v>
      </c>
      <c r="J214" s="4">
        <v>4.17</v>
      </c>
      <c r="K214" s="4">
        <v>4.08</v>
      </c>
      <c r="L214" s="4">
        <v>3.92</v>
      </c>
      <c r="M214" s="4">
        <v>4.1100000000000003</v>
      </c>
      <c r="N214" s="4">
        <v>3.93</v>
      </c>
    </row>
    <row r="215" spans="1:14" x14ac:dyDescent="0.2">
      <c r="A215" s="3">
        <v>44981</v>
      </c>
      <c r="B215" s="4">
        <v>4.68</v>
      </c>
      <c r="C215" s="4">
        <v>4.83</v>
      </c>
      <c r="D215" s="4">
        <v>4.8600000000000003</v>
      </c>
      <c r="E215" s="4">
        <v>5.0199999999999996</v>
      </c>
      <c r="F215" s="4">
        <v>5.0599999999999996</v>
      </c>
      <c r="G215" s="4">
        <v>5.05</v>
      </c>
      <c r="H215" s="4">
        <v>4.78</v>
      </c>
      <c r="I215" s="4">
        <v>4.5199999999999996</v>
      </c>
      <c r="J215" s="4">
        <v>4.1900000000000004</v>
      </c>
      <c r="K215" s="4">
        <v>4.0999999999999996</v>
      </c>
      <c r="L215" s="4">
        <v>3.95</v>
      </c>
      <c r="M215" s="4">
        <v>4.1100000000000003</v>
      </c>
      <c r="N215" s="4">
        <v>3.93</v>
      </c>
    </row>
    <row r="216" spans="1:14" x14ac:dyDescent="0.2">
      <c r="A216" s="3">
        <v>44980</v>
      </c>
      <c r="B216" s="4">
        <v>4.66</v>
      </c>
      <c r="C216" s="4">
        <v>4.83</v>
      </c>
      <c r="D216" s="4">
        <v>4.84</v>
      </c>
      <c r="E216" s="4">
        <v>5</v>
      </c>
      <c r="F216" s="4">
        <v>5.05</v>
      </c>
      <c r="G216" s="4">
        <v>5.03</v>
      </c>
      <c r="H216" s="4">
        <v>4.66</v>
      </c>
      <c r="I216" s="4">
        <v>4.4000000000000004</v>
      </c>
      <c r="J216" s="4">
        <v>4.09</v>
      </c>
      <c r="K216" s="4">
        <v>4.0199999999999996</v>
      </c>
      <c r="L216" s="4">
        <v>3.88</v>
      </c>
      <c r="M216" s="4">
        <v>4.04</v>
      </c>
      <c r="N216" s="4">
        <v>3.88</v>
      </c>
    </row>
    <row r="217" spans="1:14" x14ac:dyDescent="0.2">
      <c r="A217" s="3">
        <v>44979</v>
      </c>
      <c r="B217" s="4">
        <v>4.62</v>
      </c>
      <c r="C217" s="4">
        <v>4.8099999999999996</v>
      </c>
      <c r="D217" s="4">
        <v>4.84</v>
      </c>
      <c r="E217" s="4">
        <v>5</v>
      </c>
      <c r="F217" s="4">
        <v>5.08</v>
      </c>
      <c r="G217" s="4">
        <v>5.07</v>
      </c>
      <c r="H217" s="4">
        <v>4.66</v>
      </c>
      <c r="I217" s="4">
        <v>4.43</v>
      </c>
      <c r="J217" s="4">
        <v>4.13</v>
      </c>
      <c r="K217" s="4">
        <v>4.07</v>
      </c>
      <c r="L217" s="4">
        <v>3.93</v>
      </c>
      <c r="M217" s="4">
        <v>4.09</v>
      </c>
      <c r="N217" s="4">
        <v>3.94</v>
      </c>
    </row>
    <row r="218" spans="1:14" x14ac:dyDescent="0.2">
      <c r="A218" s="3">
        <v>44978</v>
      </c>
      <c r="B218" s="4">
        <v>4.63</v>
      </c>
      <c r="C218" s="4">
        <v>4.83</v>
      </c>
      <c r="D218" s="4">
        <v>4.8600000000000003</v>
      </c>
      <c r="E218" s="4">
        <v>4.9800000000000004</v>
      </c>
      <c r="F218" s="4">
        <v>5.07</v>
      </c>
      <c r="G218" s="4">
        <v>5.07</v>
      </c>
      <c r="H218" s="4">
        <v>4.67</v>
      </c>
      <c r="I218" s="4">
        <v>4.4400000000000004</v>
      </c>
      <c r="J218" s="4">
        <v>4.16</v>
      </c>
      <c r="K218" s="4">
        <v>4.08</v>
      </c>
      <c r="L218" s="4">
        <v>3.95</v>
      </c>
      <c r="M218" s="4">
        <v>4.12</v>
      </c>
      <c r="N218" s="4">
        <v>3.98</v>
      </c>
    </row>
    <row r="219" spans="1:14" x14ac:dyDescent="0.2">
      <c r="A219" s="3">
        <v>44974</v>
      </c>
      <c r="B219" s="4">
        <v>4.6399999999999997</v>
      </c>
      <c r="C219" s="4">
        <v>4.8099999999999996</v>
      </c>
      <c r="D219" s="4">
        <v>4.84</v>
      </c>
      <c r="E219" s="4">
        <v>4.95</v>
      </c>
      <c r="F219" s="4">
        <v>4.99</v>
      </c>
      <c r="G219" s="4">
        <v>5</v>
      </c>
      <c r="H219" s="4">
        <v>4.5999999999999996</v>
      </c>
      <c r="I219" s="4">
        <v>4.33</v>
      </c>
      <c r="J219" s="4">
        <v>4.03</v>
      </c>
      <c r="K219" s="4">
        <v>3.95</v>
      </c>
      <c r="L219" s="4">
        <v>3.82</v>
      </c>
      <c r="M219" s="4">
        <v>4.01</v>
      </c>
      <c r="N219" s="4">
        <v>3.88</v>
      </c>
    </row>
    <row r="220" spans="1:14" x14ac:dyDescent="0.2">
      <c r="A220" s="3">
        <v>44973</v>
      </c>
      <c r="B220" s="4">
        <v>4.66</v>
      </c>
      <c r="C220" s="4">
        <v>4.8</v>
      </c>
      <c r="D220" s="4">
        <v>4.84</v>
      </c>
      <c r="E220" s="4">
        <v>4.95</v>
      </c>
      <c r="F220" s="4">
        <v>4.9800000000000004</v>
      </c>
      <c r="G220" s="4">
        <v>4.99</v>
      </c>
      <c r="H220" s="4">
        <v>4.62</v>
      </c>
      <c r="I220" s="4">
        <v>4.3499999999999996</v>
      </c>
      <c r="J220" s="4">
        <v>4.0599999999999996</v>
      </c>
      <c r="K220" s="4">
        <v>3.98</v>
      </c>
      <c r="L220" s="4">
        <v>3.86</v>
      </c>
      <c r="M220" s="4">
        <v>4.05</v>
      </c>
      <c r="N220" s="4">
        <v>3.92</v>
      </c>
    </row>
    <row r="221" spans="1:14" x14ac:dyDescent="0.2">
      <c r="A221" s="3">
        <v>44972</v>
      </c>
      <c r="B221" s="4">
        <v>4.6399999999999997</v>
      </c>
      <c r="C221" s="4">
        <v>4.79</v>
      </c>
      <c r="D221" s="4">
        <v>4.79</v>
      </c>
      <c r="E221" s="4">
        <v>4.9400000000000004</v>
      </c>
      <c r="F221" s="4">
        <v>4.97</v>
      </c>
      <c r="G221" s="4">
        <v>4.96</v>
      </c>
      <c r="H221" s="4">
        <v>4.62</v>
      </c>
      <c r="I221" s="4">
        <v>4.3499999999999996</v>
      </c>
      <c r="J221" s="4">
        <v>4.04</v>
      </c>
      <c r="K221" s="4">
        <v>3.94</v>
      </c>
      <c r="L221" s="4">
        <v>3.81</v>
      </c>
      <c r="M221" s="4">
        <v>3.97</v>
      </c>
      <c r="N221" s="4">
        <v>3.85</v>
      </c>
    </row>
    <row r="222" spans="1:14" x14ac:dyDescent="0.2">
      <c r="A222" s="3">
        <v>44971</v>
      </c>
      <c r="B222" s="4">
        <v>4.63</v>
      </c>
      <c r="C222" s="4">
        <v>4.78</v>
      </c>
      <c r="D222" s="4">
        <v>4.8</v>
      </c>
      <c r="E222" s="4">
        <v>4.91</v>
      </c>
      <c r="F222" s="4">
        <v>4.9800000000000004</v>
      </c>
      <c r="G222" s="4">
        <v>4.99</v>
      </c>
      <c r="H222" s="4">
        <v>4.5999999999999996</v>
      </c>
      <c r="I222" s="4">
        <v>4.32</v>
      </c>
      <c r="J222" s="4">
        <v>4</v>
      </c>
      <c r="K222" s="4">
        <v>3.9</v>
      </c>
      <c r="L222" s="4">
        <v>3.77</v>
      </c>
      <c r="M222" s="4">
        <v>3.94</v>
      </c>
      <c r="N222" s="4">
        <v>3.81</v>
      </c>
    </row>
    <row r="223" spans="1:14" x14ac:dyDescent="0.2">
      <c r="A223" s="3">
        <v>44970</v>
      </c>
      <c r="B223" s="4">
        <v>4.66</v>
      </c>
      <c r="C223" s="4">
        <v>4.78</v>
      </c>
      <c r="D223" s="4">
        <v>4.8099999999999996</v>
      </c>
      <c r="E223" s="4">
        <v>4.9000000000000004</v>
      </c>
      <c r="F223" s="4">
        <v>4.99</v>
      </c>
      <c r="G223" s="4">
        <v>4.91</v>
      </c>
      <c r="H223" s="4">
        <v>4.5199999999999996</v>
      </c>
      <c r="I223" s="4">
        <v>4.22</v>
      </c>
      <c r="J223" s="4">
        <v>3.93</v>
      </c>
      <c r="K223" s="4">
        <v>3.84</v>
      </c>
      <c r="L223" s="4">
        <v>3.72</v>
      </c>
      <c r="M223" s="4">
        <v>3.92</v>
      </c>
      <c r="N223" s="4">
        <v>3.79</v>
      </c>
    </row>
    <row r="224" spans="1:14" x14ac:dyDescent="0.2">
      <c r="A224" s="3">
        <v>44967</v>
      </c>
      <c r="B224" s="4">
        <v>4.66</v>
      </c>
      <c r="C224" s="4">
        <v>4.7699999999999996</v>
      </c>
      <c r="D224" s="4">
        <v>4.79</v>
      </c>
      <c r="E224" s="4">
        <v>4.8899999999999997</v>
      </c>
      <c r="F224" s="4">
        <v>4.8899999999999997</v>
      </c>
      <c r="G224" s="4">
        <v>4.8899999999999997</v>
      </c>
      <c r="H224" s="4">
        <v>4.5</v>
      </c>
      <c r="I224" s="4">
        <v>4.1900000000000004</v>
      </c>
      <c r="J224" s="4">
        <v>3.93</v>
      </c>
      <c r="K224" s="4">
        <v>3.86</v>
      </c>
      <c r="L224" s="4">
        <v>3.74</v>
      </c>
      <c r="M224" s="4">
        <v>3.96</v>
      </c>
      <c r="N224" s="4">
        <v>3.83</v>
      </c>
    </row>
    <row r="225" spans="1:14" x14ac:dyDescent="0.2">
      <c r="A225" s="3">
        <v>44966</v>
      </c>
      <c r="B225" s="4">
        <v>4.66</v>
      </c>
      <c r="C225" s="4">
        <v>4.7699999999999996</v>
      </c>
      <c r="D225" s="4">
        <v>4.7699999999999996</v>
      </c>
      <c r="E225" s="4">
        <v>4.87</v>
      </c>
      <c r="F225" s="4">
        <v>4.9000000000000004</v>
      </c>
      <c r="G225" s="4">
        <v>4.88</v>
      </c>
      <c r="H225" s="4">
        <v>4.4800000000000004</v>
      </c>
      <c r="I225" s="4">
        <v>4.1500000000000004</v>
      </c>
      <c r="J225" s="4">
        <v>3.87</v>
      </c>
      <c r="K225" s="4">
        <v>3.79</v>
      </c>
      <c r="L225" s="4">
        <v>3.67</v>
      </c>
      <c r="M225" s="4">
        <v>3.9</v>
      </c>
      <c r="N225" s="4">
        <v>3.75</v>
      </c>
    </row>
    <row r="226" spans="1:14" x14ac:dyDescent="0.2">
      <c r="A226" s="3">
        <v>44965</v>
      </c>
      <c r="B226" s="4">
        <v>4.6399999999999997</v>
      </c>
      <c r="C226" s="4">
        <v>4.6900000000000004</v>
      </c>
      <c r="D226" s="4">
        <v>4.72</v>
      </c>
      <c r="E226" s="4">
        <v>4.8499999999999996</v>
      </c>
      <c r="F226" s="4">
        <v>4.88</v>
      </c>
      <c r="G226" s="4">
        <v>4.87</v>
      </c>
      <c r="H226" s="4">
        <v>4.45</v>
      </c>
      <c r="I226" s="4">
        <v>4.08</v>
      </c>
      <c r="J226" s="4">
        <v>3.82</v>
      </c>
      <c r="K226" s="4">
        <v>3.75</v>
      </c>
      <c r="L226" s="4">
        <v>3.63</v>
      </c>
      <c r="M226" s="4">
        <v>3.86</v>
      </c>
      <c r="N226" s="4">
        <v>3.7</v>
      </c>
    </row>
    <row r="227" spans="1:14" x14ac:dyDescent="0.2">
      <c r="A227" s="3">
        <v>44964</v>
      </c>
      <c r="B227" s="4">
        <v>4.62</v>
      </c>
      <c r="C227" s="4">
        <v>4.68</v>
      </c>
      <c r="D227" s="4">
        <v>4.71</v>
      </c>
      <c r="E227" s="4">
        <v>4.8</v>
      </c>
      <c r="F227" s="4">
        <v>4.8899999999999997</v>
      </c>
      <c r="G227" s="4">
        <v>4.88</v>
      </c>
      <c r="H227" s="4">
        <v>4.47</v>
      </c>
      <c r="I227" s="4">
        <v>4.1100000000000003</v>
      </c>
      <c r="J227" s="4">
        <v>3.85</v>
      </c>
      <c r="K227" s="4">
        <v>3.78</v>
      </c>
      <c r="L227" s="4">
        <v>3.67</v>
      </c>
      <c r="M227" s="4">
        <v>3.87</v>
      </c>
      <c r="N227" s="4">
        <v>3.72</v>
      </c>
    </row>
    <row r="228" spans="1:14" x14ac:dyDescent="0.2">
      <c r="A228" s="3">
        <v>44963</v>
      </c>
      <c r="B228" s="4">
        <v>4.6100000000000003</v>
      </c>
      <c r="C228" s="4">
        <v>4.67</v>
      </c>
      <c r="D228" s="4">
        <v>4.71</v>
      </c>
      <c r="E228" s="4">
        <v>4.8099999999999996</v>
      </c>
      <c r="F228" s="4">
        <v>4.8899999999999997</v>
      </c>
      <c r="G228" s="4">
        <v>4.8499999999999996</v>
      </c>
      <c r="H228" s="4">
        <v>4.4400000000000004</v>
      </c>
      <c r="I228" s="4">
        <v>4.0999999999999996</v>
      </c>
      <c r="J228" s="4">
        <v>3.81</v>
      </c>
      <c r="K228" s="4">
        <v>3.73</v>
      </c>
      <c r="L228" s="4">
        <v>3.63</v>
      </c>
      <c r="M228" s="4">
        <v>3.82</v>
      </c>
      <c r="N228" s="4">
        <v>3.67</v>
      </c>
    </row>
    <row r="229" spans="1:14" x14ac:dyDescent="0.2">
      <c r="A229" s="3">
        <v>44960</v>
      </c>
      <c r="B229" s="4">
        <v>4.6100000000000003</v>
      </c>
      <c r="C229" s="4">
        <v>4.67</v>
      </c>
      <c r="D229" s="4">
        <v>4.7</v>
      </c>
      <c r="E229" s="4">
        <v>4.8</v>
      </c>
      <c r="F229" s="4">
        <v>4.82</v>
      </c>
      <c r="G229" s="4">
        <v>4.79</v>
      </c>
      <c r="H229" s="4">
        <v>4.3</v>
      </c>
      <c r="I229" s="4">
        <v>3.96</v>
      </c>
      <c r="J229" s="4">
        <v>3.67</v>
      </c>
      <c r="K229" s="4">
        <v>3.61</v>
      </c>
      <c r="L229" s="4">
        <v>3.53</v>
      </c>
      <c r="M229" s="4">
        <v>3.77</v>
      </c>
      <c r="N229" s="4">
        <v>3.63</v>
      </c>
    </row>
    <row r="230" spans="1:14" x14ac:dyDescent="0.2">
      <c r="A230" s="3">
        <v>44959</v>
      </c>
      <c r="B230" s="4">
        <v>4.62</v>
      </c>
      <c r="C230" s="4">
        <v>4.6500000000000004</v>
      </c>
      <c r="D230" s="4">
        <v>4.66</v>
      </c>
      <c r="E230" s="4">
        <v>4.75</v>
      </c>
      <c r="F230" s="4">
        <v>4.76</v>
      </c>
      <c r="G230" s="4">
        <v>4.6399999999999997</v>
      </c>
      <c r="H230" s="4">
        <v>4.09</v>
      </c>
      <c r="I230" s="4">
        <v>3.75</v>
      </c>
      <c r="J230" s="4">
        <v>3.49</v>
      </c>
      <c r="K230" s="4">
        <v>3.44</v>
      </c>
      <c r="L230" s="4">
        <v>3.4</v>
      </c>
      <c r="M230" s="4">
        <v>3.67</v>
      </c>
      <c r="N230" s="4">
        <v>3.55</v>
      </c>
    </row>
    <row r="231" spans="1:14" x14ac:dyDescent="0.2">
      <c r="A231" s="3">
        <v>44958</v>
      </c>
      <c r="B231" s="4">
        <v>4.59</v>
      </c>
      <c r="C231" s="4">
        <v>4.63</v>
      </c>
      <c r="D231" s="4">
        <v>4.66</v>
      </c>
      <c r="E231" s="4">
        <v>4.7699999999999996</v>
      </c>
      <c r="F231" s="4">
        <v>4.79</v>
      </c>
      <c r="G231" s="4">
        <v>4.66</v>
      </c>
      <c r="H231" s="4">
        <v>4.09</v>
      </c>
      <c r="I231" s="4">
        <v>3.75</v>
      </c>
      <c r="J231" s="4">
        <v>3.48</v>
      </c>
      <c r="K231" s="4">
        <v>3.43</v>
      </c>
      <c r="L231" s="4">
        <v>3.39</v>
      </c>
      <c r="M231" s="4">
        <v>3.67</v>
      </c>
      <c r="N231" s="4">
        <v>3.55</v>
      </c>
    </row>
    <row r="232" spans="1:14" x14ac:dyDescent="0.2">
      <c r="A232" s="3">
        <v>44957</v>
      </c>
      <c r="B232" s="4">
        <v>4.58</v>
      </c>
      <c r="C232" s="4">
        <v>4.6399999999999997</v>
      </c>
      <c r="D232" s="4">
        <v>4.7</v>
      </c>
      <c r="E232" s="4">
        <v>4.74</v>
      </c>
      <c r="F232" s="4">
        <v>4.8</v>
      </c>
      <c r="G232" s="4">
        <v>4.68</v>
      </c>
      <c r="H232" s="4">
        <v>4.21</v>
      </c>
      <c r="I232" s="4">
        <v>3.9</v>
      </c>
      <c r="J232" s="4">
        <v>3.63</v>
      </c>
      <c r="K232" s="4">
        <v>3.59</v>
      </c>
      <c r="L232" s="4">
        <v>3.52</v>
      </c>
      <c r="M232" s="4">
        <v>3.78</v>
      </c>
      <c r="N232" s="4">
        <v>3.65</v>
      </c>
    </row>
    <row r="233" spans="1:14" x14ac:dyDescent="0.2">
      <c r="A233" s="3">
        <v>44956</v>
      </c>
      <c r="B233" s="4">
        <v>4.5999999999999996</v>
      </c>
      <c r="C233" s="4">
        <v>4.6399999999999997</v>
      </c>
      <c r="D233" s="4">
        <v>4.72</v>
      </c>
      <c r="E233" s="4">
        <v>4.76</v>
      </c>
      <c r="F233" s="4">
        <v>4.82</v>
      </c>
      <c r="G233" s="4">
        <v>4.71</v>
      </c>
      <c r="H233" s="4">
        <v>4.25</v>
      </c>
      <c r="I233" s="4">
        <v>3.96</v>
      </c>
      <c r="J233" s="4">
        <v>3.68</v>
      </c>
      <c r="K233" s="4">
        <v>3.62</v>
      </c>
      <c r="L233" s="4">
        <v>3.55</v>
      </c>
      <c r="M233" s="4">
        <v>3.79</v>
      </c>
      <c r="N233" s="4">
        <v>3.66</v>
      </c>
    </row>
    <row r="234" spans="1:14" x14ac:dyDescent="0.2">
      <c r="A234" s="3">
        <v>44953</v>
      </c>
      <c r="B234" s="4">
        <v>4.6100000000000003</v>
      </c>
      <c r="C234" s="4">
        <v>4.6399999999999997</v>
      </c>
      <c r="D234" s="4">
        <v>4.7300000000000004</v>
      </c>
      <c r="E234" s="4">
        <v>4.76</v>
      </c>
      <c r="F234" s="4">
        <v>4.8099999999999996</v>
      </c>
      <c r="G234" s="4">
        <v>4.68</v>
      </c>
      <c r="H234" s="4">
        <v>4.1900000000000004</v>
      </c>
      <c r="I234" s="4">
        <v>3.9</v>
      </c>
      <c r="J234" s="4">
        <v>3.62</v>
      </c>
      <c r="K234" s="4">
        <v>3.58</v>
      </c>
      <c r="L234" s="4">
        <v>3.52</v>
      </c>
      <c r="M234" s="4">
        <v>3.77</v>
      </c>
      <c r="N234" s="4">
        <v>3.64</v>
      </c>
    </row>
    <row r="235" spans="1:14" x14ac:dyDescent="0.2">
      <c r="A235" s="3">
        <v>44952</v>
      </c>
      <c r="B235" s="4">
        <v>4.6100000000000003</v>
      </c>
      <c r="C235" s="4">
        <v>4.6500000000000004</v>
      </c>
      <c r="D235" s="4">
        <v>4.71</v>
      </c>
      <c r="E235" s="4">
        <v>4.76</v>
      </c>
      <c r="F235" s="4">
        <v>4.79</v>
      </c>
      <c r="G235" s="4">
        <v>4.68</v>
      </c>
      <c r="H235" s="4">
        <v>4.17</v>
      </c>
      <c r="I235" s="4">
        <v>3.88</v>
      </c>
      <c r="J235" s="4">
        <v>3.58</v>
      </c>
      <c r="K235" s="4">
        <v>3.54</v>
      </c>
      <c r="L235" s="4">
        <v>3.49</v>
      </c>
      <c r="M235" s="4">
        <v>3.75</v>
      </c>
      <c r="N235" s="4">
        <v>3.62</v>
      </c>
    </row>
    <row r="236" spans="1:14" x14ac:dyDescent="0.2">
      <c r="A236" s="3">
        <v>44951</v>
      </c>
      <c r="B236" s="4">
        <v>4.67</v>
      </c>
      <c r="C236" s="4">
        <v>4.6500000000000004</v>
      </c>
      <c r="D236" s="4">
        <v>4.72</v>
      </c>
      <c r="E236" s="4">
        <v>4.75</v>
      </c>
      <c r="F236" s="4">
        <v>4.79</v>
      </c>
      <c r="G236" s="4">
        <v>4.67</v>
      </c>
      <c r="H236" s="4">
        <v>4.1100000000000003</v>
      </c>
      <c r="I236" s="4">
        <v>3.84</v>
      </c>
      <c r="J236" s="4">
        <v>3.54</v>
      </c>
      <c r="K236" s="4">
        <v>3.51</v>
      </c>
      <c r="L236" s="4">
        <v>3.46</v>
      </c>
      <c r="M236" s="4">
        <v>3.74</v>
      </c>
      <c r="N236" s="4">
        <v>3.62</v>
      </c>
    </row>
    <row r="237" spans="1:14" x14ac:dyDescent="0.2">
      <c r="A237" s="3">
        <v>44950</v>
      </c>
      <c r="B237" s="4">
        <v>4.7</v>
      </c>
      <c r="C237" s="4">
        <v>4.67</v>
      </c>
      <c r="D237" s="4">
        <v>4.72</v>
      </c>
      <c r="E237" s="4">
        <v>4.75</v>
      </c>
      <c r="F237" s="4">
        <v>4.84</v>
      </c>
      <c r="G237" s="4">
        <v>4.7</v>
      </c>
      <c r="H237" s="4">
        <v>4.12</v>
      </c>
      <c r="I237" s="4">
        <v>3.86</v>
      </c>
      <c r="J237" s="4">
        <v>3.58</v>
      </c>
      <c r="K237" s="4">
        <v>3.52</v>
      </c>
      <c r="L237" s="4">
        <v>3.46</v>
      </c>
      <c r="M237" s="4">
        <v>3.73</v>
      </c>
      <c r="N237" s="4">
        <v>3.62</v>
      </c>
    </row>
    <row r="238" spans="1:14" x14ac:dyDescent="0.2">
      <c r="A238" s="3">
        <v>44949</v>
      </c>
      <c r="B238" s="4">
        <v>4.6900000000000004</v>
      </c>
      <c r="C238" s="4">
        <v>4.6500000000000004</v>
      </c>
      <c r="D238" s="4">
        <v>4.7300000000000004</v>
      </c>
      <c r="E238" s="4">
        <v>4.76</v>
      </c>
      <c r="F238" s="4">
        <v>4.82</v>
      </c>
      <c r="G238" s="4">
        <v>4.7</v>
      </c>
      <c r="H238" s="4">
        <v>4.21</v>
      </c>
      <c r="I238" s="4">
        <v>3.88</v>
      </c>
      <c r="J238" s="4">
        <v>3.61</v>
      </c>
      <c r="K238" s="4">
        <v>3.56</v>
      </c>
      <c r="L238" s="4">
        <v>3.52</v>
      </c>
      <c r="M238" s="4">
        <v>3.8</v>
      </c>
      <c r="N238" s="4">
        <v>3.69</v>
      </c>
    </row>
    <row r="239" spans="1:14" x14ac:dyDescent="0.2">
      <c r="A239" s="3">
        <v>44946</v>
      </c>
      <c r="B239" s="4">
        <v>4.6900000000000004</v>
      </c>
      <c r="C239" s="4">
        <v>4.6399999999999997</v>
      </c>
      <c r="D239" s="4">
        <v>4.72</v>
      </c>
      <c r="E239" s="4">
        <v>4.75</v>
      </c>
      <c r="F239" s="4">
        <v>4.8</v>
      </c>
      <c r="G239" s="4">
        <v>4.68</v>
      </c>
      <c r="H239" s="4">
        <v>4.1399999999999997</v>
      </c>
      <c r="I239" s="4">
        <v>3.83</v>
      </c>
      <c r="J239" s="4">
        <v>3.56</v>
      </c>
      <c r="K239" s="4">
        <v>3.51</v>
      </c>
      <c r="L239" s="4">
        <v>3.48</v>
      </c>
      <c r="M239" s="4">
        <v>3.77</v>
      </c>
      <c r="N239" s="4">
        <v>3.66</v>
      </c>
    </row>
    <row r="240" spans="1:14" x14ac:dyDescent="0.2">
      <c r="A240" s="3">
        <v>44945</v>
      </c>
      <c r="B240" s="4">
        <v>4.6900000000000004</v>
      </c>
      <c r="C240" s="4">
        <v>4.66</v>
      </c>
      <c r="D240" s="4">
        <v>4.71</v>
      </c>
      <c r="E240" s="4">
        <v>4.74</v>
      </c>
      <c r="F240" s="4">
        <v>4.79</v>
      </c>
      <c r="G240" s="4">
        <v>4.6500000000000004</v>
      </c>
      <c r="H240" s="4">
        <v>4.09</v>
      </c>
      <c r="I240" s="4">
        <v>3.76</v>
      </c>
      <c r="J240" s="4">
        <v>3.48</v>
      </c>
      <c r="K240" s="4">
        <v>3.43</v>
      </c>
      <c r="L240" s="4">
        <v>3.39</v>
      </c>
      <c r="M240" s="4">
        <v>3.69</v>
      </c>
      <c r="N240" s="4">
        <v>3.57</v>
      </c>
    </row>
    <row r="241" spans="1:14" x14ac:dyDescent="0.2">
      <c r="A241" s="3">
        <v>44944</v>
      </c>
      <c r="B241" s="4">
        <v>4.59</v>
      </c>
      <c r="C241" s="4">
        <v>4.62</v>
      </c>
      <c r="D241" s="4">
        <v>4.6900000000000004</v>
      </c>
      <c r="E241" s="4">
        <v>4.74</v>
      </c>
      <c r="F241" s="4">
        <v>4.79</v>
      </c>
      <c r="G241" s="4">
        <v>4.63</v>
      </c>
      <c r="H241" s="4">
        <v>4.0599999999999996</v>
      </c>
      <c r="I241" s="4">
        <v>3.72</v>
      </c>
      <c r="J241" s="4">
        <v>3.43</v>
      </c>
      <c r="K241" s="4">
        <v>3.4</v>
      </c>
      <c r="L241" s="4">
        <v>3.37</v>
      </c>
      <c r="M241" s="4">
        <v>3.65</v>
      </c>
      <c r="N241" s="4">
        <v>3.54</v>
      </c>
    </row>
    <row r="242" spans="1:14" x14ac:dyDescent="0.2">
      <c r="A242" s="3">
        <v>44943</v>
      </c>
      <c r="B242" s="4">
        <v>4.5999999999999996</v>
      </c>
      <c r="C242" s="4">
        <v>4.63</v>
      </c>
      <c r="D242" s="4">
        <v>4.71</v>
      </c>
      <c r="E242" s="4">
        <v>4.74</v>
      </c>
      <c r="F242" s="4">
        <v>4.82</v>
      </c>
      <c r="G242" s="4">
        <v>4.67</v>
      </c>
      <c r="H242" s="4">
        <v>4.18</v>
      </c>
      <c r="I242" s="4">
        <v>3.86</v>
      </c>
      <c r="J242" s="4">
        <v>3.6</v>
      </c>
      <c r="K242" s="4">
        <v>3.57</v>
      </c>
      <c r="L242" s="4">
        <v>3.53</v>
      </c>
      <c r="M242" s="4">
        <v>3.81</v>
      </c>
      <c r="N242" s="4">
        <v>3.64</v>
      </c>
    </row>
    <row r="243" spans="1:14" x14ac:dyDescent="0.2">
      <c r="A243" s="3">
        <v>44939</v>
      </c>
      <c r="B243" s="4">
        <v>4.58</v>
      </c>
      <c r="C243" s="4">
        <v>4.59</v>
      </c>
      <c r="D243" s="4">
        <v>4.67</v>
      </c>
      <c r="E243" s="4">
        <v>4.7300000000000004</v>
      </c>
      <c r="F243" s="4">
        <v>4.7699999999999996</v>
      </c>
      <c r="G243" s="4">
        <v>4.6900000000000004</v>
      </c>
      <c r="H243" s="4">
        <v>4.22</v>
      </c>
      <c r="I243" s="4">
        <v>3.88</v>
      </c>
      <c r="J243" s="4">
        <v>3.6</v>
      </c>
      <c r="K243" s="4">
        <v>3.55</v>
      </c>
      <c r="L243" s="4">
        <v>3.49</v>
      </c>
      <c r="M243" s="4">
        <v>3.79</v>
      </c>
      <c r="N243" s="4">
        <v>3.61</v>
      </c>
    </row>
    <row r="244" spans="1:14" x14ac:dyDescent="0.2">
      <c r="A244" s="3">
        <v>44938</v>
      </c>
      <c r="B244" s="4">
        <v>4.57</v>
      </c>
      <c r="C244" s="4">
        <v>4.59</v>
      </c>
      <c r="D244" s="4">
        <v>4.66</v>
      </c>
      <c r="E244" s="4">
        <v>4.74</v>
      </c>
      <c r="F244" s="4">
        <v>4.76</v>
      </c>
      <c r="G244" s="4">
        <v>4.66</v>
      </c>
      <c r="H244" s="4">
        <v>4.12</v>
      </c>
      <c r="I244" s="4">
        <v>3.79</v>
      </c>
      <c r="J244" s="4">
        <v>3.53</v>
      </c>
      <c r="K244" s="4">
        <v>3.48</v>
      </c>
      <c r="L244" s="4">
        <v>3.43</v>
      </c>
      <c r="M244" s="4">
        <v>3.73</v>
      </c>
      <c r="N244" s="4">
        <v>3.56</v>
      </c>
    </row>
    <row r="245" spans="1:14" x14ac:dyDescent="0.2">
      <c r="A245" s="3">
        <v>44937</v>
      </c>
      <c r="B245" s="4">
        <v>4.42</v>
      </c>
      <c r="C245" s="4">
        <v>4.62</v>
      </c>
      <c r="D245" s="4">
        <v>4.72</v>
      </c>
      <c r="E245" s="4">
        <v>4.82</v>
      </c>
      <c r="F245" s="4">
        <v>4.84</v>
      </c>
      <c r="G245" s="4">
        <v>4.7300000000000004</v>
      </c>
      <c r="H245" s="4">
        <v>4.2</v>
      </c>
      <c r="I245" s="4">
        <v>3.9</v>
      </c>
      <c r="J245" s="4">
        <v>3.66</v>
      </c>
      <c r="K245" s="4">
        <v>3.61</v>
      </c>
      <c r="L245" s="4">
        <v>3.54</v>
      </c>
      <c r="M245" s="4">
        <v>3.84</v>
      </c>
      <c r="N245" s="4">
        <v>3.67</v>
      </c>
    </row>
    <row r="246" spans="1:14" x14ac:dyDescent="0.2">
      <c r="A246" s="3">
        <v>44936</v>
      </c>
      <c r="B246" s="4">
        <v>4.41</v>
      </c>
      <c r="C246" s="4">
        <v>4.62</v>
      </c>
      <c r="D246" s="4">
        <v>4.7300000000000004</v>
      </c>
      <c r="E246" s="4">
        <v>4.7699999999999996</v>
      </c>
      <c r="F246" s="4">
        <v>4.8499999999999996</v>
      </c>
      <c r="G246" s="4">
        <v>4.74</v>
      </c>
      <c r="H246" s="4">
        <v>4.24</v>
      </c>
      <c r="I246" s="4">
        <v>3.94</v>
      </c>
      <c r="J246" s="4">
        <v>3.72</v>
      </c>
      <c r="K246" s="4">
        <v>3.67</v>
      </c>
      <c r="L246" s="4">
        <v>3.61</v>
      </c>
      <c r="M246" s="4">
        <v>3.91</v>
      </c>
      <c r="N246" s="4">
        <v>3.74</v>
      </c>
    </row>
    <row r="247" spans="1:14" x14ac:dyDescent="0.2">
      <c r="A247" s="3">
        <v>44935</v>
      </c>
      <c r="B247" s="4">
        <v>4.37</v>
      </c>
      <c r="C247" s="4">
        <v>4.58</v>
      </c>
      <c r="D247" s="4">
        <v>4.7</v>
      </c>
      <c r="E247" s="4">
        <v>4.74</v>
      </c>
      <c r="F247" s="4">
        <v>4.83</v>
      </c>
      <c r="G247" s="4">
        <v>4.6900000000000004</v>
      </c>
      <c r="H247" s="4">
        <v>4.1900000000000004</v>
      </c>
      <c r="I247" s="4">
        <v>3.93</v>
      </c>
      <c r="J247" s="4">
        <v>3.66</v>
      </c>
      <c r="K247" s="4">
        <v>3.6</v>
      </c>
      <c r="L247" s="4">
        <v>3.53</v>
      </c>
      <c r="M247" s="4">
        <v>3.83</v>
      </c>
      <c r="N247" s="4">
        <v>3.66</v>
      </c>
    </row>
    <row r="248" spans="1:14" x14ac:dyDescent="0.2">
      <c r="A248" s="3">
        <v>44932</v>
      </c>
      <c r="B248" s="4">
        <v>4.32</v>
      </c>
      <c r="C248" s="4">
        <v>4.55</v>
      </c>
      <c r="D248" s="4">
        <v>4.67</v>
      </c>
      <c r="E248" s="4">
        <v>4.74</v>
      </c>
      <c r="F248" s="4">
        <v>4.79</v>
      </c>
      <c r="G248" s="4">
        <v>4.71</v>
      </c>
      <c r="H248" s="4">
        <v>4.24</v>
      </c>
      <c r="I248" s="4">
        <v>3.96</v>
      </c>
      <c r="J248" s="4">
        <v>3.69</v>
      </c>
      <c r="K248" s="4">
        <v>3.63</v>
      </c>
      <c r="L248" s="4">
        <v>3.55</v>
      </c>
      <c r="M248" s="4">
        <v>3.84</v>
      </c>
      <c r="N248" s="4">
        <v>3.67</v>
      </c>
    </row>
    <row r="249" spans="1:14" x14ac:dyDescent="0.2">
      <c r="A249" s="3">
        <v>44931</v>
      </c>
      <c r="B249" s="4">
        <v>4.3</v>
      </c>
      <c r="C249" s="4">
        <v>4.55</v>
      </c>
      <c r="D249" s="4">
        <v>4.66</v>
      </c>
      <c r="E249" s="4">
        <v>4.75</v>
      </c>
      <c r="F249" s="4">
        <v>4.8099999999999996</v>
      </c>
      <c r="G249" s="4">
        <v>4.78</v>
      </c>
      <c r="H249" s="4">
        <v>4.45</v>
      </c>
      <c r="I249" s="4">
        <v>4.18</v>
      </c>
      <c r="J249" s="4">
        <v>3.9</v>
      </c>
      <c r="K249" s="4">
        <v>3.82</v>
      </c>
      <c r="L249" s="4">
        <v>3.71</v>
      </c>
      <c r="M249" s="4">
        <v>3.96</v>
      </c>
      <c r="N249" s="4">
        <v>3.78</v>
      </c>
    </row>
    <row r="250" spans="1:14" x14ac:dyDescent="0.2">
      <c r="A250" s="3">
        <v>44930</v>
      </c>
      <c r="B250" s="4">
        <v>4.2</v>
      </c>
      <c r="C250" s="4">
        <v>4.42</v>
      </c>
      <c r="D250" s="4">
        <v>4.55</v>
      </c>
      <c r="E250" s="4">
        <v>4.6900000000000004</v>
      </c>
      <c r="F250" s="4">
        <v>4.7699999999999996</v>
      </c>
      <c r="G250" s="4">
        <v>4.71</v>
      </c>
      <c r="H250" s="4">
        <v>4.3600000000000003</v>
      </c>
      <c r="I250" s="4">
        <v>4.1100000000000003</v>
      </c>
      <c r="J250" s="4">
        <v>3.85</v>
      </c>
      <c r="K250" s="4">
        <v>3.79</v>
      </c>
      <c r="L250" s="4">
        <v>3.69</v>
      </c>
      <c r="M250" s="4">
        <v>3.97</v>
      </c>
      <c r="N250" s="4">
        <v>3.81</v>
      </c>
    </row>
    <row r="251" spans="1:14" x14ac:dyDescent="0.2">
      <c r="A251" s="3">
        <v>44929</v>
      </c>
      <c r="B251" s="4">
        <v>4.17</v>
      </c>
      <c r="C251" s="4">
        <v>4.42</v>
      </c>
      <c r="D251" s="4">
        <v>4.53</v>
      </c>
      <c r="E251" s="4">
        <v>4.7</v>
      </c>
      <c r="F251" s="4">
        <v>4.7699999999999996</v>
      </c>
      <c r="G251" s="4">
        <v>4.72</v>
      </c>
      <c r="H251" s="4">
        <v>4.4000000000000004</v>
      </c>
      <c r="I251" s="4">
        <v>4.18</v>
      </c>
      <c r="J251" s="4">
        <v>3.94</v>
      </c>
      <c r="K251" s="4">
        <v>3.89</v>
      </c>
      <c r="L251" s="4">
        <v>3.79</v>
      </c>
      <c r="M251" s="4">
        <v>4.0599999999999996</v>
      </c>
      <c r="N251" s="4">
        <v>3.88</v>
      </c>
    </row>
  </sheetData>
  <hyperlinks>
    <hyperlink ref="Q1" r:id="rId1" xr:uid="{C17451A7-241A-264C-92F3-FA6314F4EC1C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31C3-7CDB-B34F-91C8-B284755C6B87}">
  <dimension ref="A1:S414"/>
  <sheetViews>
    <sheetView showGridLines="0" zoomScale="132" workbookViewId="0">
      <selection activeCell="D2" sqref="D2"/>
    </sheetView>
  </sheetViews>
  <sheetFormatPr baseColWidth="10" defaultRowHeight="16" x14ac:dyDescent="0.2"/>
  <cols>
    <col min="1" max="1" width="6.6640625" bestFit="1" customWidth="1"/>
    <col min="2" max="2" width="8.5" bestFit="1" customWidth="1"/>
    <col min="3" max="3" width="5.1640625" bestFit="1" customWidth="1"/>
    <col min="4" max="4" width="7.5" bestFit="1" customWidth="1"/>
    <col min="5" max="5" width="7.83203125" bestFit="1" customWidth="1"/>
    <col min="6" max="6" width="10.6640625" bestFit="1" customWidth="1"/>
    <col min="7" max="7" width="8.5" bestFit="1" customWidth="1"/>
    <col min="8" max="8" width="15" bestFit="1" customWidth="1"/>
    <col min="9" max="9" width="15.33203125" bestFit="1" customWidth="1"/>
    <col min="10" max="10" width="13.33203125" bestFit="1" customWidth="1"/>
    <col min="11" max="11" width="6.5" customWidth="1"/>
    <col min="12" max="12" width="9" bestFit="1" customWidth="1"/>
    <col min="13" max="13" width="5.83203125" customWidth="1"/>
    <col min="14" max="14" width="22.1640625" bestFit="1" customWidth="1"/>
    <col min="15" max="15" width="12.6640625" bestFit="1" customWidth="1"/>
    <col min="16" max="16" width="7.1640625" bestFit="1" customWidth="1"/>
    <col min="23" max="23" width="16.83203125" bestFit="1" customWidth="1"/>
    <col min="24" max="24" width="12.83203125" bestFit="1" customWidth="1"/>
  </cols>
  <sheetData>
    <row r="1" spans="1:19" ht="17" thickBot="1" x14ac:dyDescent="0.25">
      <c r="A1" s="6" t="s">
        <v>17</v>
      </c>
      <c r="B1" s="7" t="s">
        <v>0</v>
      </c>
      <c r="C1" s="7" t="s">
        <v>3</v>
      </c>
      <c r="D1" s="8" t="s">
        <v>18</v>
      </c>
      <c r="E1" s="9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10" t="s">
        <v>24</v>
      </c>
      <c r="L1" s="11" t="s">
        <v>25</v>
      </c>
      <c r="N1" s="12" t="s">
        <v>26</v>
      </c>
      <c r="O1" s="13" t="s">
        <v>27</v>
      </c>
      <c r="P1" s="14" t="s">
        <v>28</v>
      </c>
    </row>
    <row r="2" spans="1:19" x14ac:dyDescent="0.2">
      <c r="A2" s="15">
        <v>1</v>
      </c>
      <c r="B2" s="3">
        <v>45446</v>
      </c>
      <c r="C2" s="4">
        <v>5.52</v>
      </c>
      <c r="D2" s="16">
        <f t="shared" ref="D2:D66" si="0">C2/100</f>
        <v>5.5199999999999999E-2</v>
      </c>
      <c r="E2" s="17">
        <f>(D2/D3-1)</f>
        <v>1.098901098901095E-2</v>
      </c>
      <c r="F2" s="18">
        <f t="shared" ref="F2:F65" si="1">D2-D3</f>
        <v>5.9999999999999637E-4</v>
      </c>
      <c r="G2" s="19">
        <f t="shared" ref="G2:G65" si="2">$O$2*($O$3-D3)*$O$7</f>
        <v>1.1394065050645461E-6</v>
      </c>
      <c r="H2" s="20">
        <f t="shared" ref="H2:H65" si="3">F2-G2</f>
        <v>5.988605934949318E-4</v>
      </c>
      <c r="I2" s="21">
        <f>NORMDIST(H2,0,$O$4,FALSE)</f>
        <v>10.195461996963683</v>
      </c>
      <c r="J2" s="22">
        <f>LN(I2)</f>
        <v>2.3219427190333892</v>
      </c>
      <c r="L2" s="23">
        <f>SUM(J2:J252)</f>
        <v>1804.0965791094852</v>
      </c>
      <c r="N2" s="24" t="s">
        <v>29</v>
      </c>
      <c r="O2" s="25">
        <v>0.10232418946325139</v>
      </c>
      <c r="P2" s="26">
        <f>AVERAGE(D2:D253)</f>
        <v>5.4880555555555578E-2</v>
      </c>
      <c r="R2" s="11"/>
      <c r="S2" s="11"/>
    </row>
    <row r="3" spans="1:19" x14ac:dyDescent="0.2">
      <c r="A3" s="15">
        <v>2</v>
      </c>
      <c r="B3" s="3">
        <v>45443</v>
      </c>
      <c r="C3" s="4">
        <v>5.46</v>
      </c>
      <c r="D3" s="16">
        <f t="shared" si="0"/>
        <v>5.4600000000000003E-2</v>
      </c>
      <c r="E3" s="17">
        <f t="shared" ref="E3:E66" si="4">(D3/D4-1)</f>
        <v>0</v>
      </c>
      <c r="F3" s="18">
        <f t="shared" si="1"/>
        <v>0</v>
      </c>
      <c r="G3" s="19">
        <f t="shared" si="2"/>
        <v>1.1394065050645461E-6</v>
      </c>
      <c r="H3" s="20">
        <f t="shared" si="3"/>
        <v>-1.1394065050645461E-6</v>
      </c>
      <c r="I3" s="21">
        <f t="shared" ref="I3:I66" si="5">NORMDIST(H3,0,$O$4,FALSE)</f>
        <v>2182.3572140030551</v>
      </c>
      <c r="J3" s="22">
        <f t="shared" ref="J3:J66" si="6">LN(I3)</f>
        <v>7.6881608624363675</v>
      </c>
      <c r="N3" s="24" t="s">
        <v>30</v>
      </c>
      <c r="O3">
        <v>5.7406085645851958E-2</v>
      </c>
      <c r="P3" s="27">
        <v>0.05</v>
      </c>
      <c r="R3" s="11"/>
      <c r="S3" s="11"/>
    </row>
    <row r="4" spans="1:19" x14ac:dyDescent="0.2">
      <c r="A4" s="15">
        <v>3</v>
      </c>
      <c r="B4" s="3">
        <v>45442</v>
      </c>
      <c r="C4" s="4">
        <v>5.46</v>
      </c>
      <c r="D4" s="16">
        <f t="shared" si="0"/>
        <v>5.4600000000000003E-2</v>
      </c>
      <c r="E4" s="17">
        <f t="shared" si="4"/>
        <v>0</v>
      </c>
      <c r="F4" s="18">
        <f t="shared" si="1"/>
        <v>0</v>
      </c>
      <c r="G4" s="19">
        <f t="shared" si="2"/>
        <v>1.1394065050645461E-6</v>
      </c>
      <c r="H4" s="20">
        <f t="shared" si="3"/>
        <v>-1.1394065050645461E-6</v>
      </c>
      <c r="I4" s="21">
        <f t="shared" si="5"/>
        <v>2182.3572140030551</v>
      </c>
      <c r="J4" s="22">
        <f t="shared" si="6"/>
        <v>7.6881608624363675</v>
      </c>
      <c r="N4" s="24" t="s">
        <v>31</v>
      </c>
      <c r="O4" s="28">
        <v>1.8279983139301718E-4</v>
      </c>
      <c r="P4" s="29">
        <f>_xlfn.STDEV.S(E2:E252)</f>
        <v>3.3507144360948623E-3</v>
      </c>
      <c r="R4" s="11"/>
      <c r="S4" s="30"/>
    </row>
    <row r="5" spans="1:19" x14ac:dyDescent="0.2">
      <c r="A5" s="15">
        <v>4</v>
      </c>
      <c r="B5" s="3">
        <v>45441</v>
      </c>
      <c r="C5" s="4">
        <v>5.46</v>
      </c>
      <c r="D5" s="16">
        <f t="shared" si="0"/>
        <v>5.4600000000000003E-2</v>
      </c>
      <c r="E5" s="17">
        <f t="shared" si="4"/>
        <v>0</v>
      </c>
      <c r="F5" s="18">
        <f t="shared" si="1"/>
        <v>0</v>
      </c>
      <c r="G5" s="19">
        <f t="shared" si="2"/>
        <v>1.1394065050645461E-6</v>
      </c>
      <c r="H5" s="20">
        <f t="shared" si="3"/>
        <v>-1.1394065050645461E-6</v>
      </c>
      <c r="I5" s="21">
        <f t="shared" si="5"/>
        <v>2182.3572140030551</v>
      </c>
      <c r="J5" s="22">
        <f t="shared" si="6"/>
        <v>7.6881608624363675</v>
      </c>
      <c r="N5" s="24" t="s">
        <v>32</v>
      </c>
      <c r="O5">
        <f>D2</f>
        <v>5.5199999999999999E-2</v>
      </c>
      <c r="P5" s="27"/>
    </row>
    <row r="6" spans="1:19" x14ac:dyDescent="0.2">
      <c r="A6" s="15">
        <v>5</v>
      </c>
      <c r="B6" s="3">
        <v>45440</v>
      </c>
      <c r="C6" s="4">
        <v>5.46</v>
      </c>
      <c r="D6" s="16">
        <f t="shared" si="0"/>
        <v>5.4600000000000003E-2</v>
      </c>
      <c r="E6" s="17">
        <f t="shared" si="4"/>
        <v>0</v>
      </c>
      <c r="F6" s="18">
        <f t="shared" si="1"/>
        <v>0</v>
      </c>
      <c r="G6" s="19">
        <f t="shared" si="2"/>
        <v>1.1394065050645461E-6</v>
      </c>
      <c r="H6" s="20">
        <f t="shared" si="3"/>
        <v>-1.1394065050645461E-6</v>
      </c>
      <c r="I6" s="21">
        <f t="shared" si="5"/>
        <v>2182.3572140030551</v>
      </c>
      <c r="J6" s="22">
        <f t="shared" si="6"/>
        <v>7.6881608624363675</v>
      </c>
      <c r="N6" s="24" t="s">
        <v>33</v>
      </c>
      <c r="O6">
        <v>252</v>
      </c>
      <c r="P6" s="27"/>
    </row>
    <row r="7" spans="1:19" ht="17" thickBot="1" x14ac:dyDescent="0.25">
      <c r="A7" s="15">
        <v>6</v>
      </c>
      <c r="B7" s="3">
        <v>45436</v>
      </c>
      <c r="C7" s="4">
        <v>5.46</v>
      </c>
      <c r="D7" s="16">
        <f t="shared" si="0"/>
        <v>5.4600000000000003E-2</v>
      </c>
      <c r="E7" s="17">
        <f t="shared" si="4"/>
        <v>0</v>
      </c>
      <c r="F7" s="18">
        <f t="shared" si="1"/>
        <v>0</v>
      </c>
      <c r="G7" s="19">
        <f t="shared" si="2"/>
        <v>1.1394065050645461E-6</v>
      </c>
      <c r="H7" s="20">
        <f t="shared" si="3"/>
        <v>-1.1394065050645461E-6</v>
      </c>
      <c r="I7" s="21">
        <f t="shared" si="5"/>
        <v>2182.3572140030551</v>
      </c>
      <c r="J7" s="22">
        <f t="shared" si="6"/>
        <v>7.6881608624363675</v>
      </c>
      <c r="N7" s="31" t="s">
        <v>34</v>
      </c>
      <c r="O7" s="32">
        <f>1/O6</f>
        <v>3.968253968253968E-3</v>
      </c>
      <c r="P7" s="33"/>
    </row>
    <row r="8" spans="1:19" x14ac:dyDescent="0.2">
      <c r="A8" s="15">
        <v>7</v>
      </c>
      <c r="B8" s="3">
        <v>45435</v>
      </c>
      <c r="C8" s="4">
        <v>5.46</v>
      </c>
      <c r="D8" s="16">
        <f t="shared" si="0"/>
        <v>5.4600000000000003E-2</v>
      </c>
      <c r="E8" s="17">
        <f t="shared" si="4"/>
        <v>1.8348623853210455E-3</v>
      </c>
      <c r="F8" s="18">
        <f t="shared" si="1"/>
        <v>1.0000000000000286E-4</v>
      </c>
      <c r="G8" s="19">
        <f t="shared" si="2"/>
        <v>1.1800113421531391E-6</v>
      </c>
      <c r="H8" s="20">
        <f t="shared" si="3"/>
        <v>9.8819988657849724E-5</v>
      </c>
      <c r="I8" s="21">
        <f t="shared" si="5"/>
        <v>1885.7121753081776</v>
      </c>
      <c r="J8" s="22">
        <f t="shared" si="6"/>
        <v>7.5420608403637681</v>
      </c>
    </row>
    <row r="9" spans="1:19" x14ac:dyDescent="0.2">
      <c r="A9" s="15">
        <v>8</v>
      </c>
      <c r="B9" s="3">
        <v>45434</v>
      </c>
      <c r="C9" s="4">
        <v>5.45</v>
      </c>
      <c r="D9" s="16">
        <f t="shared" si="0"/>
        <v>5.45E-2</v>
      </c>
      <c r="E9" s="17">
        <f t="shared" si="4"/>
        <v>0</v>
      </c>
      <c r="F9" s="18">
        <f t="shared" si="1"/>
        <v>0</v>
      </c>
      <c r="G9" s="19">
        <f t="shared" si="2"/>
        <v>1.1800113421531391E-6</v>
      </c>
      <c r="H9" s="20">
        <f t="shared" si="3"/>
        <v>-1.1800113421531391E-6</v>
      </c>
      <c r="I9" s="21">
        <f t="shared" si="5"/>
        <v>2182.354138609342</v>
      </c>
      <c r="J9" s="22">
        <f t="shared" si="6"/>
        <v>7.688159453228077</v>
      </c>
    </row>
    <row r="10" spans="1:19" x14ac:dyDescent="0.2">
      <c r="A10" s="15">
        <v>9</v>
      </c>
      <c r="B10" s="3">
        <v>45433</v>
      </c>
      <c r="C10" s="4">
        <v>5.45</v>
      </c>
      <c r="D10" s="16">
        <f t="shared" si="0"/>
        <v>5.45E-2</v>
      </c>
      <c r="E10" s="17">
        <f t="shared" si="4"/>
        <v>0</v>
      </c>
      <c r="F10" s="18">
        <f t="shared" si="1"/>
        <v>0</v>
      </c>
      <c r="G10" s="19">
        <f t="shared" si="2"/>
        <v>1.1800113421531391E-6</v>
      </c>
      <c r="H10" s="20">
        <f t="shared" si="3"/>
        <v>-1.1800113421531391E-6</v>
      </c>
      <c r="I10" s="21">
        <f t="shared" si="5"/>
        <v>2182.354138609342</v>
      </c>
      <c r="J10" s="22">
        <f t="shared" si="6"/>
        <v>7.688159453228077</v>
      </c>
    </row>
    <row r="11" spans="1:19" x14ac:dyDescent="0.2">
      <c r="A11" s="15">
        <v>10</v>
      </c>
      <c r="B11" s="3">
        <v>45432</v>
      </c>
      <c r="C11" s="4">
        <v>5.45</v>
      </c>
      <c r="D11" s="16">
        <f t="shared" si="0"/>
        <v>5.45E-2</v>
      </c>
      <c r="E11" s="17">
        <f t="shared" si="4"/>
        <v>-1.831501831501936E-3</v>
      </c>
      <c r="F11" s="18">
        <f t="shared" si="1"/>
        <v>-1.0000000000000286E-4</v>
      </c>
      <c r="G11" s="19">
        <f t="shared" si="2"/>
        <v>1.1394065050645461E-6</v>
      </c>
      <c r="H11" s="20">
        <f t="shared" si="3"/>
        <v>-1.0113940650506741E-4</v>
      </c>
      <c r="I11" s="21">
        <f t="shared" si="5"/>
        <v>1872.6712449188335</v>
      </c>
      <c r="J11" s="22">
        <f t="shared" si="6"/>
        <v>7.5351211637699684</v>
      </c>
    </row>
    <row r="12" spans="1:19" x14ac:dyDescent="0.2">
      <c r="A12" s="15">
        <v>11</v>
      </c>
      <c r="B12" s="3">
        <v>45429</v>
      </c>
      <c r="C12" s="4">
        <v>5.46</v>
      </c>
      <c r="D12" s="16">
        <f t="shared" si="0"/>
        <v>5.4600000000000003E-2</v>
      </c>
      <c r="E12" s="17">
        <f t="shared" si="4"/>
        <v>1.8348623853210455E-3</v>
      </c>
      <c r="F12" s="18">
        <f t="shared" si="1"/>
        <v>1.0000000000000286E-4</v>
      </c>
      <c r="G12" s="19">
        <f t="shared" si="2"/>
        <v>1.1800113421531391E-6</v>
      </c>
      <c r="H12" s="20">
        <f t="shared" si="3"/>
        <v>9.8819988657849724E-5</v>
      </c>
      <c r="I12" s="21">
        <f t="shared" si="5"/>
        <v>1885.7121753081776</v>
      </c>
      <c r="J12" s="22">
        <f t="shared" si="6"/>
        <v>7.5420608403637681</v>
      </c>
    </row>
    <row r="13" spans="1:19" x14ac:dyDescent="0.2">
      <c r="A13" s="15">
        <v>12</v>
      </c>
      <c r="B13" s="3">
        <v>45428</v>
      </c>
      <c r="C13" s="4">
        <v>5.45</v>
      </c>
      <c r="D13" s="16">
        <f t="shared" si="0"/>
        <v>5.45E-2</v>
      </c>
      <c r="E13" s="17">
        <f t="shared" si="4"/>
        <v>0</v>
      </c>
      <c r="F13" s="18">
        <f t="shared" si="1"/>
        <v>0</v>
      </c>
      <c r="G13" s="19">
        <f t="shared" si="2"/>
        <v>1.1800113421531391E-6</v>
      </c>
      <c r="H13" s="20">
        <f t="shared" si="3"/>
        <v>-1.1800113421531391E-6</v>
      </c>
      <c r="I13" s="21">
        <f t="shared" si="5"/>
        <v>2182.354138609342</v>
      </c>
      <c r="J13" s="22">
        <f t="shared" si="6"/>
        <v>7.688159453228077</v>
      </c>
    </row>
    <row r="14" spans="1:19" x14ac:dyDescent="0.2">
      <c r="A14" s="15">
        <v>13</v>
      </c>
      <c r="B14" s="3">
        <v>45427</v>
      </c>
      <c r="C14" s="4">
        <v>5.45</v>
      </c>
      <c r="D14" s="16">
        <f t="shared" si="0"/>
        <v>5.45E-2</v>
      </c>
      <c r="E14" s="17">
        <f t="shared" si="4"/>
        <v>1.8382352941175295E-3</v>
      </c>
      <c r="F14" s="18">
        <f t="shared" si="1"/>
        <v>9.9999999999995925E-5</v>
      </c>
      <c r="G14" s="19">
        <f t="shared" si="2"/>
        <v>1.2206161792417292E-6</v>
      </c>
      <c r="H14" s="20">
        <f t="shared" si="3"/>
        <v>9.8779383820754202E-5</v>
      </c>
      <c r="I14" s="21">
        <f t="shared" si="5"/>
        <v>1885.9385788576703</v>
      </c>
      <c r="J14" s="22">
        <f t="shared" si="6"/>
        <v>7.5421808957795644</v>
      </c>
    </row>
    <row r="15" spans="1:19" x14ac:dyDescent="0.2">
      <c r="A15" s="15">
        <v>14</v>
      </c>
      <c r="B15" s="3">
        <v>45426</v>
      </c>
      <c r="C15" s="4">
        <v>5.44</v>
      </c>
      <c r="D15" s="16">
        <f t="shared" si="0"/>
        <v>5.4400000000000004E-2</v>
      </c>
      <c r="E15" s="17">
        <f t="shared" si="4"/>
        <v>-1.8348623853210455E-3</v>
      </c>
      <c r="F15" s="18">
        <f t="shared" si="1"/>
        <v>-9.9999999999995925E-5</v>
      </c>
      <c r="G15" s="19">
        <f t="shared" si="2"/>
        <v>1.1800113421531391E-6</v>
      </c>
      <c r="H15" s="20">
        <f t="shared" si="3"/>
        <v>-1.0118001134214907E-4</v>
      </c>
      <c r="I15" s="21">
        <f t="shared" si="5"/>
        <v>1872.4410643751903</v>
      </c>
      <c r="J15" s="22">
        <f t="shared" si="6"/>
        <v>7.5349982405970843</v>
      </c>
    </row>
    <row r="16" spans="1:19" x14ac:dyDescent="0.2">
      <c r="A16" s="15">
        <v>15</v>
      </c>
      <c r="B16" s="3">
        <v>45425</v>
      </c>
      <c r="C16" s="4">
        <v>5.45</v>
      </c>
      <c r="D16" s="16">
        <f t="shared" si="0"/>
        <v>5.45E-2</v>
      </c>
      <c r="E16" s="17">
        <f t="shared" si="4"/>
        <v>-3.6563071297989191E-3</v>
      </c>
      <c r="F16" s="18">
        <f t="shared" si="1"/>
        <v>-1.9999999999999879E-4</v>
      </c>
      <c r="G16" s="19">
        <f t="shared" si="2"/>
        <v>1.0988016679759558E-6</v>
      </c>
      <c r="H16" s="20">
        <f t="shared" si="3"/>
        <v>-2.0109880166797474E-4</v>
      </c>
      <c r="I16" s="21">
        <f t="shared" si="5"/>
        <v>1191.6164520177786</v>
      </c>
      <c r="J16" s="22">
        <f t="shared" si="6"/>
        <v>7.0830660274052617</v>
      </c>
    </row>
    <row r="17" spans="1:15" x14ac:dyDescent="0.2">
      <c r="A17" s="15">
        <v>16</v>
      </c>
      <c r="B17" s="3">
        <v>45422</v>
      </c>
      <c r="C17" s="4">
        <v>5.47</v>
      </c>
      <c r="D17" s="16">
        <f t="shared" si="0"/>
        <v>5.4699999999999999E-2</v>
      </c>
      <c r="E17" s="17">
        <f t="shared" si="4"/>
        <v>1.831501831501825E-3</v>
      </c>
      <c r="F17" s="18">
        <f t="shared" si="1"/>
        <v>9.9999999999995925E-5</v>
      </c>
      <c r="G17" s="19">
        <f t="shared" si="2"/>
        <v>1.1394065050645461E-6</v>
      </c>
      <c r="H17" s="20">
        <f t="shared" si="3"/>
        <v>9.8860593494931381E-5</v>
      </c>
      <c r="I17" s="21">
        <f t="shared" si="5"/>
        <v>1885.4857059072042</v>
      </c>
      <c r="J17" s="22">
        <f t="shared" si="6"/>
        <v>7.5419407356074659</v>
      </c>
    </row>
    <row r="18" spans="1:15" x14ac:dyDescent="0.2">
      <c r="A18" s="15">
        <v>17</v>
      </c>
      <c r="B18" s="3">
        <v>45421</v>
      </c>
      <c r="C18" s="4">
        <v>5.46</v>
      </c>
      <c r="D18" s="16">
        <f t="shared" si="0"/>
        <v>5.4600000000000003E-2</v>
      </c>
      <c r="E18" s="17">
        <f t="shared" si="4"/>
        <v>1.8348623853210455E-3</v>
      </c>
      <c r="F18" s="18">
        <f t="shared" si="1"/>
        <v>1.0000000000000286E-4</v>
      </c>
      <c r="G18" s="19">
        <f t="shared" si="2"/>
        <v>1.1800113421531391E-6</v>
      </c>
      <c r="H18" s="20">
        <f t="shared" si="3"/>
        <v>9.8819988657849724E-5</v>
      </c>
      <c r="I18" s="21">
        <f t="shared" si="5"/>
        <v>1885.7121753081776</v>
      </c>
      <c r="J18" s="22">
        <f t="shared" si="6"/>
        <v>7.5420608403637681</v>
      </c>
    </row>
    <row r="19" spans="1:15" x14ac:dyDescent="0.2">
      <c r="A19" s="15">
        <v>18</v>
      </c>
      <c r="B19" s="3">
        <v>45420</v>
      </c>
      <c r="C19" s="4">
        <v>5.45</v>
      </c>
      <c r="D19" s="16">
        <f t="shared" si="0"/>
        <v>5.45E-2</v>
      </c>
      <c r="E19" s="17">
        <f t="shared" si="4"/>
        <v>0</v>
      </c>
      <c r="F19" s="18">
        <f t="shared" si="1"/>
        <v>0</v>
      </c>
      <c r="G19" s="19">
        <f t="shared" si="2"/>
        <v>1.1800113421531391E-6</v>
      </c>
      <c r="H19" s="20">
        <f t="shared" si="3"/>
        <v>-1.1800113421531391E-6</v>
      </c>
      <c r="I19" s="21">
        <f t="shared" si="5"/>
        <v>2182.354138609342</v>
      </c>
      <c r="J19" s="22">
        <f t="shared" si="6"/>
        <v>7.688159453228077</v>
      </c>
    </row>
    <row r="20" spans="1:15" x14ac:dyDescent="0.2">
      <c r="A20" s="15">
        <v>19</v>
      </c>
      <c r="B20" s="3">
        <v>45419</v>
      </c>
      <c r="C20" s="4">
        <v>5.45</v>
      </c>
      <c r="D20" s="16">
        <f t="shared" si="0"/>
        <v>5.45E-2</v>
      </c>
      <c r="E20" s="17">
        <f t="shared" si="4"/>
        <v>0</v>
      </c>
      <c r="F20" s="18">
        <f t="shared" si="1"/>
        <v>0</v>
      </c>
      <c r="G20" s="19">
        <f t="shared" si="2"/>
        <v>1.1800113421531391E-6</v>
      </c>
      <c r="H20" s="20">
        <f t="shared" si="3"/>
        <v>-1.1800113421531391E-6</v>
      </c>
      <c r="I20" s="21">
        <f t="shared" si="5"/>
        <v>2182.354138609342</v>
      </c>
      <c r="J20" s="22">
        <f t="shared" si="6"/>
        <v>7.688159453228077</v>
      </c>
    </row>
    <row r="21" spans="1:15" x14ac:dyDescent="0.2">
      <c r="A21" s="15">
        <v>20</v>
      </c>
      <c r="B21" s="3">
        <v>45418</v>
      </c>
      <c r="C21" s="4">
        <v>5.45</v>
      </c>
      <c r="D21" s="16">
        <f t="shared" si="0"/>
        <v>5.45E-2</v>
      </c>
      <c r="E21" s="17">
        <f t="shared" si="4"/>
        <v>0</v>
      </c>
      <c r="F21" s="18">
        <f t="shared" si="1"/>
        <v>0</v>
      </c>
      <c r="G21" s="19">
        <f t="shared" si="2"/>
        <v>1.1800113421531391E-6</v>
      </c>
      <c r="H21" s="20">
        <f t="shared" si="3"/>
        <v>-1.1800113421531391E-6</v>
      </c>
      <c r="I21" s="21">
        <f t="shared" si="5"/>
        <v>2182.354138609342</v>
      </c>
      <c r="J21" s="22">
        <f t="shared" si="6"/>
        <v>7.688159453228077</v>
      </c>
    </row>
    <row r="22" spans="1:15" x14ac:dyDescent="0.2">
      <c r="A22" s="15">
        <v>21</v>
      </c>
      <c r="B22" s="3">
        <v>45415</v>
      </c>
      <c r="C22" s="4">
        <v>5.45</v>
      </c>
      <c r="D22" s="16">
        <f t="shared" si="0"/>
        <v>5.45E-2</v>
      </c>
      <c r="E22" s="17">
        <f t="shared" si="4"/>
        <v>-1.831501831501936E-3</v>
      </c>
      <c r="F22" s="18">
        <f t="shared" si="1"/>
        <v>-1.0000000000000286E-4</v>
      </c>
      <c r="G22" s="19">
        <f t="shared" si="2"/>
        <v>1.1394065050645461E-6</v>
      </c>
      <c r="H22" s="20">
        <f t="shared" si="3"/>
        <v>-1.0113940650506741E-4</v>
      </c>
      <c r="I22" s="21">
        <f t="shared" si="5"/>
        <v>1872.6712449188335</v>
      </c>
      <c r="J22" s="22">
        <f t="shared" si="6"/>
        <v>7.5351211637699684</v>
      </c>
    </row>
    <row r="23" spans="1:15" x14ac:dyDescent="0.2">
      <c r="A23" s="15">
        <v>22</v>
      </c>
      <c r="B23" s="3">
        <v>45414</v>
      </c>
      <c r="C23" s="4">
        <v>5.46</v>
      </c>
      <c r="D23" s="16">
        <f t="shared" si="0"/>
        <v>5.4600000000000003E-2</v>
      </c>
      <c r="E23" s="17">
        <f t="shared" si="4"/>
        <v>0</v>
      </c>
      <c r="F23" s="18">
        <f t="shared" si="1"/>
        <v>0</v>
      </c>
      <c r="G23" s="19">
        <f t="shared" si="2"/>
        <v>1.1394065050645461E-6</v>
      </c>
      <c r="H23" s="20">
        <f t="shared" si="3"/>
        <v>-1.1394065050645461E-6</v>
      </c>
      <c r="I23" s="21">
        <f t="shared" si="5"/>
        <v>2182.3572140030551</v>
      </c>
      <c r="J23" s="22">
        <f t="shared" si="6"/>
        <v>7.6881608624363675</v>
      </c>
    </row>
    <row r="24" spans="1:15" x14ac:dyDescent="0.2">
      <c r="A24" s="15">
        <v>23</v>
      </c>
      <c r="B24" s="3">
        <v>45413</v>
      </c>
      <c r="C24" s="4">
        <v>5.46</v>
      </c>
      <c r="D24" s="16">
        <f t="shared" si="0"/>
        <v>5.4600000000000003E-2</v>
      </c>
      <c r="E24" s="17">
        <f t="shared" si="4"/>
        <v>0</v>
      </c>
      <c r="F24" s="18">
        <f t="shared" si="1"/>
        <v>0</v>
      </c>
      <c r="G24" s="19">
        <f t="shared" si="2"/>
        <v>1.1394065050645461E-6</v>
      </c>
      <c r="H24" s="20">
        <f t="shared" si="3"/>
        <v>-1.1394065050645461E-6</v>
      </c>
      <c r="I24" s="21">
        <f t="shared" si="5"/>
        <v>2182.3572140030551</v>
      </c>
      <c r="J24" s="22">
        <f t="shared" si="6"/>
        <v>7.6881608624363675</v>
      </c>
    </row>
    <row r="25" spans="1:15" x14ac:dyDescent="0.2">
      <c r="A25" s="15">
        <v>24</v>
      </c>
      <c r="B25" s="3">
        <v>45412</v>
      </c>
      <c r="C25" s="4">
        <v>5.46</v>
      </c>
      <c r="D25" s="16">
        <f t="shared" si="0"/>
        <v>5.4600000000000003E-2</v>
      </c>
      <c r="E25" s="17">
        <f t="shared" si="4"/>
        <v>1.8348623853210455E-3</v>
      </c>
      <c r="F25" s="18">
        <f t="shared" si="1"/>
        <v>1.0000000000000286E-4</v>
      </c>
      <c r="G25" s="19">
        <f t="shared" si="2"/>
        <v>1.1800113421531391E-6</v>
      </c>
      <c r="H25" s="20">
        <f t="shared" si="3"/>
        <v>9.8819988657849724E-5</v>
      </c>
      <c r="I25" s="21">
        <f t="shared" si="5"/>
        <v>1885.7121753081776</v>
      </c>
      <c r="J25" s="22">
        <f t="shared" si="6"/>
        <v>7.5420608403637681</v>
      </c>
      <c r="O25" s="4"/>
    </row>
    <row r="26" spans="1:15" x14ac:dyDescent="0.2">
      <c r="A26" s="15">
        <v>25</v>
      </c>
      <c r="B26" s="3">
        <v>45411</v>
      </c>
      <c r="C26" s="4">
        <v>5.45</v>
      </c>
      <c r="D26" s="16">
        <f t="shared" si="0"/>
        <v>5.45E-2</v>
      </c>
      <c r="E26" s="17">
        <f t="shared" si="4"/>
        <v>-1.831501831501936E-3</v>
      </c>
      <c r="F26" s="18">
        <f t="shared" si="1"/>
        <v>-1.0000000000000286E-4</v>
      </c>
      <c r="G26" s="19">
        <f t="shared" si="2"/>
        <v>1.1394065050645461E-6</v>
      </c>
      <c r="H26" s="20">
        <f t="shared" si="3"/>
        <v>-1.0113940650506741E-4</v>
      </c>
      <c r="I26" s="21">
        <f t="shared" si="5"/>
        <v>1872.6712449188335</v>
      </c>
      <c r="J26" s="22">
        <f t="shared" si="6"/>
        <v>7.5351211637699684</v>
      </c>
      <c r="O26" s="4"/>
    </row>
    <row r="27" spans="1:15" x14ac:dyDescent="0.2">
      <c r="A27" s="15">
        <v>26</v>
      </c>
      <c r="B27" s="3">
        <v>45408</v>
      </c>
      <c r="C27" s="4">
        <v>5.46</v>
      </c>
      <c r="D27" s="16">
        <f t="shared" si="0"/>
        <v>5.4600000000000003E-2</v>
      </c>
      <c r="E27" s="17">
        <f t="shared" si="4"/>
        <v>-1.8281535648994041E-3</v>
      </c>
      <c r="F27" s="18">
        <f t="shared" si="1"/>
        <v>-9.9999999999995925E-5</v>
      </c>
      <c r="G27" s="19">
        <f t="shared" si="2"/>
        <v>1.0988016679759558E-6</v>
      </c>
      <c r="H27" s="20">
        <f t="shared" si="3"/>
        <v>-1.0109880166797189E-4</v>
      </c>
      <c r="I27" s="21">
        <f t="shared" si="5"/>
        <v>1872.901361348836</v>
      </c>
      <c r="J27" s="22">
        <f t="shared" si="6"/>
        <v>7.5352440376023475</v>
      </c>
      <c r="O27" s="4"/>
    </row>
    <row r="28" spans="1:15" x14ac:dyDescent="0.2">
      <c r="A28" s="15">
        <v>27</v>
      </c>
      <c r="B28" s="3">
        <v>45407</v>
      </c>
      <c r="C28" s="4">
        <v>5.47</v>
      </c>
      <c r="D28" s="16">
        <f t="shared" si="0"/>
        <v>5.4699999999999999E-2</v>
      </c>
      <c r="E28" s="17">
        <f t="shared" si="4"/>
        <v>1.831501831501825E-3</v>
      </c>
      <c r="F28" s="18">
        <f t="shared" si="1"/>
        <v>9.9999999999995925E-5</v>
      </c>
      <c r="G28" s="19">
        <f t="shared" si="2"/>
        <v>1.1394065050645461E-6</v>
      </c>
      <c r="H28" s="20">
        <f t="shared" si="3"/>
        <v>9.8860593494931381E-5</v>
      </c>
      <c r="I28" s="21">
        <f t="shared" si="5"/>
        <v>1885.4857059072042</v>
      </c>
      <c r="J28" s="22">
        <f t="shared" si="6"/>
        <v>7.5419407356074659</v>
      </c>
      <c r="O28" s="4"/>
    </row>
    <row r="29" spans="1:15" x14ac:dyDescent="0.2">
      <c r="A29" s="15">
        <v>28</v>
      </c>
      <c r="B29" s="3">
        <v>45406</v>
      </c>
      <c r="C29" s="4">
        <v>5.46</v>
      </c>
      <c r="D29" s="16">
        <f t="shared" si="0"/>
        <v>5.4600000000000003E-2</v>
      </c>
      <c r="E29" s="17">
        <f t="shared" si="4"/>
        <v>1.8348623853210455E-3</v>
      </c>
      <c r="F29" s="18">
        <f t="shared" si="1"/>
        <v>1.0000000000000286E-4</v>
      </c>
      <c r="G29" s="19">
        <f t="shared" si="2"/>
        <v>1.1800113421531391E-6</v>
      </c>
      <c r="H29" s="20">
        <f t="shared" si="3"/>
        <v>9.8819988657849724E-5</v>
      </c>
      <c r="I29" s="21">
        <f t="shared" si="5"/>
        <v>1885.7121753081776</v>
      </c>
      <c r="J29" s="22">
        <f t="shared" si="6"/>
        <v>7.5420608403637681</v>
      </c>
      <c r="O29" s="4"/>
    </row>
    <row r="30" spans="1:15" x14ac:dyDescent="0.2">
      <c r="A30" s="15">
        <v>29</v>
      </c>
      <c r="B30" s="3">
        <v>45405</v>
      </c>
      <c r="C30" s="4">
        <v>5.45</v>
      </c>
      <c r="D30" s="16">
        <f t="shared" si="0"/>
        <v>5.45E-2</v>
      </c>
      <c r="E30" s="17">
        <f t="shared" si="4"/>
        <v>5.5350553505535416E-3</v>
      </c>
      <c r="F30" s="18">
        <f t="shared" si="1"/>
        <v>3.0000000000000165E-4</v>
      </c>
      <c r="G30" s="19">
        <f t="shared" si="2"/>
        <v>1.3018258534189152E-6</v>
      </c>
      <c r="H30" s="20">
        <f t="shared" si="3"/>
        <v>2.9869817414658275E-4</v>
      </c>
      <c r="I30" s="21">
        <f t="shared" si="5"/>
        <v>574.31225126617994</v>
      </c>
      <c r="J30" s="22">
        <f t="shared" si="6"/>
        <v>6.3531732401626186</v>
      </c>
      <c r="O30" s="4"/>
    </row>
    <row r="31" spans="1:15" x14ac:dyDescent="0.2">
      <c r="A31" s="15">
        <v>30</v>
      </c>
      <c r="B31" s="3">
        <v>45404</v>
      </c>
      <c r="C31" s="4">
        <v>5.42</v>
      </c>
      <c r="D31" s="16">
        <f t="shared" si="0"/>
        <v>5.4199999999999998E-2</v>
      </c>
      <c r="E31" s="17">
        <f t="shared" si="4"/>
        <v>-5.5045871559633586E-3</v>
      </c>
      <c r="F31" s="18">
        <f t="shared" si="1"/>
        <v>-3.0000000000000165E-4</v>
      </c>
      <c r="G31" s="19">
        <f t="shared" si="2"/>
        <v>1.1800113421531391E-6</v>
      </c>
      <c r="H31" s="20">
        <f t="shared" si="3"/>
        <v>-3.0118001134215477E-4</v>
      </c>
      <c r="I31" s="21">
        <f t="shared" si="5"/>
        <v>561.65980579902759</v>
      </c>
      <c r="J31" s="22">
        <f t="shared" si="6"/>
        <v>6.3308963388491364</v>
      </c>
      <c r="O31" s="4"/>
    </row>
    <row r="32" spans="1:15" x14ac:dyDescent="0.2">
      <c r="A32" s="15">
        <v>31</v>
      </c>
      <c r="B32" s="3">
        <v>45401</v>
      </c>
      <c r="C32" s="4">
        <v>5.45</v>
      </c>
      <c r="D32" s="16">
        <f t="shared" si="0"/>
        <v>5.45E-2</v>
      </c>
      <c r="E32" s="17">
        <f t="shared" si="4"/>
        <v>-1.831501831501936E-3</v>
      </c>
      <c r="F32" s="18">
        <f t="shared" si="1"/>
        <v>-1.0000000000000286E-4</v>
      </c>
      <c r="G32" s="19">
        <f t="shared" si="2"/>
        <v>1.1394065050645461E-6</v>
      </c>
      <c r="H32" s="20">
        <f t="shared" si="3"/>
        <v>-1.0113940650506741E-4</v>
      </c>
      <c r="I32" s="21">
        <f t="shared" si="5"/>
        <v>1872.6712449188335</v>
      </c>
      <c r="J32" s="22">
        <f t="shared" si="6"/>
        <v>7.5351211637699684</v>
      </c>
      <c r="O32" s="4"/>
    </row>
    <row r="33" spans="1:15" x14ac:dyDescent="0.2">
      <c r="A33" s="15">
        <v>32</v>
      </c>
      <c r="B33" s="3">
        <v>45400</v>
      </c>
      <c r="C33" s="4">
        <v>5.46</v>
      </c>
      <c r="D33" s="16">
        <f t="shared" si="0"/>
        <v>5.4600000000000003E-2</v>
      </c>
      <c r="E33" s="17">
        <f t="shared" si="4"/>
        <v>1.8348623853210455E-3</v>
      </c>
      <c r="F33" s="18">
        <f t="shared" si="1"/>
        <v>1.0000000000000286E-4</v>
      </c>
      <c r="G33" s="19">
        <f t="shared" si="2"/>
        <v>1.1800113421531391E-6</v>
      </c>
      <c r="H33" s="20">
        <f t="shared" si="3"/>
        <v>9.8819988657849724E-5</v>
      </c>
      <c r="I33" s="21">
        <f t="shared" si="5"/>
        <v>1885.7121753081776</v>
      </c>
      <c r="J33" s="22">
        <f t="shared" si="6"/>
        <v>7.5420608403637681</v>
      </c>
      <c r="O33" s="4"/>
    </row>
    <row r="34" spans="1:15" x14ac:dyDescent="0.2">
      <c r="A34" s="15">
        <v>33</v>
      </c>
      <c r="B34" s="3">
        <v>45399</v>
      </c>
      <c r="C34" s="4">
        <v>5.45</v>
      </c>
      <c r="D34" s="16">
        <f t="shared" si="0"/>
        <v>5.45E-2</v>
      </c>
      <c r="E34" s="17">
        <f t="shared" si="4"/>
        <v>0</v>
      </c>
      <c r="F34" s="18">
        <f t="shared" si="1"/>
        <v>0</v>
      </c>
      <c r="G34" s="19">
        <f t="shared" si="2"/>
        <v>1.1800113421531391E-6</v>
      </c>
      <c r="H34" s="20">
        <f t="shared" si="3"/>
        <v>-1.1800113421531391E-6</v>
      </c>
      <c r="I34" s="21">
        <f t="shared" si="5"/>
        <v>2182.354138609342</v>
      </c>
      <c r="J34" s="22">
        <f t="shared" si="6"/>
        <v>7.688159453228077</v>
      </c>
      <c r="O34" s="4"/>
    </row>
    <row r="35" spans="1:15" x14ac:dyDescent="0.2">
      <c r="A35" s="15">
        <v>34</v>
      </c>
      <c r="B35" s="3">
        <v>45398</v>
      </c>
      <c r="C35" s="4">
        <v>5.45</v>
      </c>
      <c r="D35" s="16">
        <f t="shared" si="0"/>
        <v>5.45E-2</v>
      </c>
      <c r="E35" s="17">
        <f t="shared" si="4"/>
        <v>0</v>
      </c>
      <c r="F35" s="18">
        <f t="shared" si="1"/>
        <v>0</v>
      </c>
      <c r="G35" s="19">
        <f t="shared" si="2"/>
        <v>1.1800113421531391E-6</v>
      </c>
      <c r="H35" s="20">
        <f t="shared" si="3"/>
        <v>-1.1800113421531391E-6</v>
      </c>
      <c r="I35" s="21">
        <f t="shared" si="5"/>
        <v>2182.354138609342</v>
      </c>
      <c r="J35" s="22">
        <f t="shared" si="6"/>
        <v>7.688159453228077</v>
      </c>
      <c r="O35" s="4"/>
    </row>
    <row r="36" spans="1:15" x14ac:dyDescent="0.2">
      <c r="A36" s="15">
        <v>35</v>
      </c>
      <c r="B36" s="3">
        <v>45397</v>
      </c>
      <c r="C36" s="4">
        <v>5.45</v>
      </c>
      <c r="D36" s="16">
        <f t="shared" si="0"/>
        <v>5.45E-2</v>
      </c>
      <c r="E36" s="17">
        <f t="shared" si="4"/>
        <v>0</v>
      </c>
      <c r="F36" s="18">
        <f t="shared" si="1"/>
        <v>0</v>
      </c>
      <c r="G36" s="19">
        <f t="shared" si="2"/>
        <v>1.1800113421531391E-6</v>
      </c>
      <c r="H36" s="20">
        <f t="shared" si="3"/>
        <v>-1.1800113421531391E-6</v>
      </c>
      <c r="I36" s="21">
        <f t="shared" si="5"/>
        <v>2182.354138609342</v>
      </c>
      <c r="J36" s="22">
        <f t="shared" si="6"/>
        <v>7.688159453228077</v>
      </c>
      <c r="O36" s="4"/>
    </row>
    <row r="37" spans="1:15" x14ac:dyDescent="0.2">
      <c r="A37" s="15">
        <v>36</v>
      </c>
      <c r="B37" s="3">
        <v>45394</v>
      </c>
      <c r="C37" s="4">
        <v>5.45</v>
      </c>
      <c r="D37" s="16">
        <f t="shared" si="0"/>
        <v>5.45E-2</v>
      </c>
      <c r="E37" s="17">
        <f t="shared" si="4"/>
        <v>0</v>
      </c>
      <c r="F37" s="18">
        <f t="shared" si="1"/>
        <v>0</v>
      </c>
      <c r="G37" s="19">
        <f t="shared" si="2"/>
        <v>1.1800113421531391E-6</v>
      </c>
      <c r="H37" s="20">
        <f t="shared" si="3"/>
        <v>-1.1800113421531391E-6</v>
      </c>
      <c r="I37" s="21">
        <f t="shared" si="5"/>
        <v>2182.354138609342</v>
      </c>
      <c r="J37" s="22">
        <f t="shared" si="6"/>
        <v>7.688159453228077</v>
      </c>
      <c r="O37" s="4"/>
    </row>
    <row r="38" spans="1:15" x14ac:dyDescent="0.2">
      <c r="A38" s="15">
        <v>37</v>
      </c>
      <c r="B38" s="3">
        <v>45393</v>
      </c>
      <c r="C38" s="4">
        <v>5.45</v>
      </c>
      <c r="D38" s="16">
        <f t="shared" si="0"/>
        <v>5.45E-2</v>
      </c>
      <c r="E38" s="17">
        <f t="shared" si="4"/>
        <v>0</v>
      </c>
      <c r="F38" s="18">
        <f t="shared" si="1"/>
        <v>0</v>
      </c>
      <c r="G38" s="19">
        <f t="shared" si="2"/>
        <v>1.1800113421531391E-6</v>
      </c>
      <c r="H38" s="20">
        <f t="shared" si="3"/>
        <v>-1.1800113421531391E-6</v>
      </c>
      <c r="I38" s="21">
        <f t="shared" si="5"/>
        <v>2182.354138609342</v>
      </c>
      <c r="J38" s="22">
        <f t="shared" si="6"/>
        <v>7.688159453228077</v>
      </c>
      <c r="O38" s="4"/>
    </row>
    <row r="39" spans="1:15" x14ac:dyDescent="0.2">
      <c r="A39" s="15">
        <v>38</v>
      </c>
      <c r="B39" s="3">
        <v>45392</v>
      </c>
      <c r="C39" s="4">
        <v>5.45</v>
      </c>
      <c r="D39" s="16">
        <f t="shared" si="0"/>
        <v>5.45E-2</v>
      </c>
      <c r="E39" s="17">
        <f t="shared" si="4"/>
        <v>3.6832412523022384E-3</v>
      </c>
      <c r="F39" s="18">
        <f t="shared" si="1"/>
        <v>2.0000000000000573E-4</v>
      </c>
      <c r="G39" s="19">
        <f t="shared" si="2"/>
        <v>1.2612210163303249E-6</v>
      </c>
      <c r="H39" s="20">
        <f t="shared" si="3"/>
        <v>1.987387789836754E-4</v>
      </c>
      <c r="I39" s="21">
        <f t="shared" si="5"/>
        <v>1208.5607785411892</v>
      </c>
      <c r="J39" s="22">
        <f t="shared" si="6"/>
        <v>7.0971854914243711</v>
      </c>
      <c r="O39" s="4"/>
    </row>
    <row r="40" spans="1:15" x14ac:dyDescent="0.2">
      <c r="A40" s="15">
        <v>39</v>
      </c>
      <c r="B40" s="3">
        <v>45391</v>
      </c>
      <c r="C40" s="4">
        <v>5.43</v>
      </c>
      <c r="D40" s="16">
        <f t="shared" si="0"/>
        <v>5.4299999999999994E-2</v>
      </c>
      <c r="E40" s="17">
        <f t="shared" si="4"/>
        <v>0</v>
      </c>
      <c r="F40" s="18">
        <f t="shared" si="1"/>
        <v>0</v>
      </c>
      <c r="G40" s="19">
        <f t="shared" si="2"/>
        <v>1.2612210163303249E-6</v>
      </c>
      <c r="H40" s="20">
        <f t="shared" si="3"/>
        <v>-1.2612210163303249E-6</v>
      </c>
      <c r="I40" s="21">
        <f t="shared" si="5"/>
        <v>2182.3476648002083</v>
      </c>
      <c r="J40" s="22">
        <f t="shared" si="6"/>
        <v>7.6881564867898522</v>
      </c>
      <c r="O40" s="4"/>
    </row>
    <row r="41" spans="1:15" x14ac:dyDescent="0.2">
      <c r="A41" s="15">
        <v>40</v>
      </c>
      <c r="B41" s="3">
        <v>45390</v>
      </c>
      <c r="C41" s="4">
        <v>5.43</v>
      </c>
      <c r="D41" s="16">
        <f t="shared" si="0"/>
        <v>5.4299999999999994E-2</v>
      </c>
      <c r="E41" s="17">
        <f t="shared" si="4"/>
        <v>0</v>
      </c>
      <c r="F41" s="18">
        <f t="shared" si="1"/>
        <v>0</v>
      </c>
      <c r="G41" s="19">
        <f t="shared" si="2"/>
        <v>1.2612210163303249E-6</v>
      </c>
      <c r="H41" s="20">
        <f t="shared" si="3"/>
        <v>-1.2612210163303249E-6</v>
      </c>
      <c r="I41" s="21">
        <f t="shared" si="5"/>
        <v>2182.3476648002083</v>
      </c>
      <c r="J41" s="22">
        <f t="shared" si="6"/>
        <v>7.6881564867898522</v>
      </c>
      <c r="O41" s="4"/>
    </row>
    <row r="42" spans="1:15" x14ac:dyDescent="0.2">
      <c r="A42" s="15">
        <v>41</v>
      </c>
      <c r="B42" s="3">
        <v>45387</v>
      </c>
      <c r="C42" s="4">
        <v>5.43</v>
      </c>
      <c r="D42" s="16">
        <f t="shared" si="0"/>
        <v>5.4299999999999994E-2</v>
      </c>
      <c r="E42" s="17">
        <f t="shared" si="4"/>
        <v>3.696857670979492E-3</v>
      </c>
      <c r="F42" s="18">
        <f t="shared" si="1"/>
        <v>1.9999999999999185E-4</v>
      </c>
      <c r="G42" s="19">
        <f t="shared" si="2"/>
        <v>1.3424306905075053E-6</v>
      </c>
      <c r="H42" s="20">
        <f t="shared" si="3"/>
        <v>1.9865756930948435E-4</v>
      </c>
      <c r="I42" s="21">
        <f t="shared" si="5"/>
        <v>1209.1445238745569</v>
      </c>
      <c r="J42" s="22">
        <f t="shared" si="6"/>
        <v>7.0976683834824952</v>
      </c>
      <c r="O42" s="4"/>
    </row>
    <row r="43" spans="1:15" x14ac:dyDescent="0.2">
      <c r="A43" s="15">
        <v>42</v>
      </c>
      <c r="B43" s="3">
        <v>45386</v>
      </c>
      <c r="C43" s="4">
        <v>5.41</v>
      </c>
      <c r="D43" s="16">
        <f t="shared" si="0"/>
        <v>5.4100000000000002E-2</v>
      </c>
      <c r="E43" s="17">
        <f t="shared" si="4"/>
        <v>-1.8450184501844769E-3</v>
      </c>
      <c r="F43" s="18">
        <f t="shared" si="1"/>
        <v>-9.9999999999995925E-5</v>
      </c>
      <c r="G43" s="19">
        <f t="shared" si="2"/>
        <v>1.3018258534189152E-6</v>
      </c>
      <c r="H43" s="20">
        <f t="shared" si="3"/>
        <v>-1.0130182585341484E-4</v>
      </c>
      <c r="I43" s="21">
        <f t="shared" si="5"/>
        <v>1871.7501383677964</v>
      </c>
      <c r="J43" s="22">
        <f t="shared" si="6"/>
        <v>7.5346291750350858</v>
      </c>
      <c r="O43" s="4"/>
    </row>
    <row r="44" spans="1:15" x14ac:dyDescent="0.2">
      <c r="A44" s="15">
        <v>43</v>
      </c>
      <c r="B44" s="3">
        <v>45385</v>
      </c>
      <c r="C44" s="4">
        <v>5.42</v>
      </c>
      <c r="D44" s="16">
        <f t="shared" si="0"/>
        <v>5.4199999999999998E-2</v>
      </c>
      <c r="E44" s="17">
        <f t="shared" si="4"/>
        <v>0</v>
      </c>
      <c r="F44" s="18">
        <f t="shared" si="1"/>
        <v>0</v>
      </c>
      <c r="G44" s="19">
        <f t="shared" si="2"/>
        <v>1.3018258534189152E-6</v>
      </c>
      <c r="H44" s="20">
        <f t="shared" si="3"/>
        <v>-1.3018258534189152E-6</v>
      </c>
      <c r="I44" s="21">
        <f t="shared" si="5"/>
        <v>2182.3442663857463</v>
      </c>
      <c r="J44" s="22">
        <f t="shared" si="6"/>
        <v>7.6881549295599196</v>
      </c>
      <c r="O44" s="4"/>
    </row>
    <row r="45" spans="1:15" x14ac:dyDescent="0.2">
      <c r="A45" s="15">
        <v>44</v>
      </c>
      <c r="B45" s="3">
        <v>45384</v>
      </c>
      <c r="C45" s="4">
        <v>5.42</v>
      </c>
      <c r="D45" s="16">
        <f t="shared" si="0"/>
        <v>5.4199999999999998E-2</v>
      </c>
      <c r="E45" s="17">
        <f t="shared" si="4"/>
        <v>-3.6764705882353921E-3</v>
      </c>
      <c r="F45" s="18">
        <f t="shared" si="1"/>
        <v>-2.0000000000000573E-4</v>
      </c>
      <c r="G45" s="19">
        <f t="shared" si="2"/>
        <v>1.2206161792417292E-6</v>
      </c>
      <c r="H45" s="20">
        <f t="shared" si="3"/>
        <v>-2.0122061617924747E-4</v>
      </c>
      <c r="I45" s="21">
        <f t="shared" si="5"/>
        <v>1190.7429463890403</v>
      </c>
      <c r="J45" s="22">
        <f t="shared" si="6"/>
        <v>7.0823327159926626</v>
      </c>
      <c r="O45" s="4"/>
    </row>
    <row r="46" spans="1:15" x14ac:dyDescent="0.2">
      <c r="A46" s="15">
        <v>45</v>
      </c>
      <c r="B46" s="3">
        <v>45383</v>
      </c>
      <c r="C46" s="4">
        <v>5.44</v>
      </c>
      <c r="D46" s="16">
        <f t="shared" si="0"/>
        <v>5.4400000000000004E-2</v>
      </c>
      <c r="E46" s="17">
        <f t="shared" si="4"/>
        <v>-3.66300366300365E-3</v>
      </c>
      <c r="F46" s="18">
        <f t="shared" si="1"/>
        <v>-1.9999999999999879E-4</v>
      </c>
      <c r="G46" s="19">
        <f t="shared" si="2"/>
        <v>1.1394065050645461E-6</v>
      </c>
      <c r="H46" s="20">
        <f t="shared" si="3"/>
        <v>-2.0113940650506333E-4</v>
      </c>
      <c r="I46" s="21">
        <f t="shared" si="5"/>
        <v>1191.3252710802183</v>
      </c>
      <c r="J46" s="22">
        <f t="shared" si="6"/>
        <v>7.0828216396082908</v>
      </c>
      <c r="O46" s="4"/>
    </row>
    <row r="47" spans="1:15" x14ac:dyDescent="0.2">
      <c r="A47" s="15">
        <v>46</v>
      </c>
      <c r="B47" s="3">
        <v>45379</v>
      </c>
      <c r="C47" s="4">
        <v>5.46</v>
      </c>
      <c r="D47" s="16">
        <f t="shared" si="0"/>
        <v>5.4600000000000003E-2</v>
      </c>
      <c r="E47" s="17">
        <f t="shared" si="4"/>
        <v>1.8348623853210455E-3</v>
      </c>
      <c r="F47" s="18">
        <f t="shared" si="1"/>
        <v>1.0000000000000286E-4</v>
      </c>
      <c r="G47" s="19">
        <f t="shared" si="2"/>
        <v>1.1800113421531391E-6</v>
      </c>
      <c r="H47" s="20">
        <f t="shared" si="3"/>
        <v>9.8819988657849724E-5</v>
      </c>
      <c r="I47" s="21">
        <f t="shared" si="5"/>
        <v>1885.7121753081776</v>
      </c>
      <c r="J47" s="22">
        <f t="shared" si="6"/>
        <v>7.5420608403637681</v>
      </c>
      <c r="O47" s="4"/>
    </row>
    <row r="48" spans="1:15" x14ac:dyDescent="0.2">
      <c r="A48" s="15">
        <v>47</v>
      </c>
      <c r="B48" s="3">
        <v>45378</v>
      </c>
      <c r="C48" s="4">
        <v>5.45</v>
      </c>
      <c r="D48" s="16">
        <f t="shared" si="0"/>
        <v>5.45E-2</v>
      </c>
      <c r="E48" s="17">
        <f t="shared" si="4"/>
        <v>-1.831501831501936E-3</v>
      </c>
      <c r="F48" s="18">
        <f t="shared" si="1"/>
        <v>-1.0000000000000286E-4</v>
      </c>
      <c r="G48" s="19">
        <f t="shared" si="2"/>
        <v>1.1394065050645461E-6</v>
      </c>
      <c r="H48" s="20">
        <f t="shared" si="3"/>
        <v>-1.0113940650506741E-4</v>
      </c>
      <c r="I48" s="21">
        <f t="shared" si="5"/>
        <v>1872.6712449188335</v>
      </c>
      <c r="J48" s="22">
        <f t="shared" si="6"/>
        <v>7.5351211637699684</v>
      </c>
      <c r="O48" s="4"/>
    </row>
    <row r="49" spans="1:15" x14ac:dyDescent="0.2">
      <c r="A49" s="15">
        <v>48</v>
      </c>
      <c r="B49" s="3">
        <v>45377</v>
      </c>
      <c r="C49" s="4">
        <v>5.46</v>
      </c>
      <c r="D49" s="16">
        <f t="shared" si="0"/>
        <v>5.4600000000000003E-2</v>
      </c>
      <c r="E49" s="17">
        <f t="shared" si="4"/>
        <v>0</v>
      </c>
      <c r="F49" s="18">
        <f t="shared" si="1"/>
        <v>0</v>
      </c>
      <c r="G49" s="19">
        <f t="shared" si="2"/>
        <v>1.1394065050645461E-6</v>
      </c>
      <c r="H49" s="20">
        <f t="shared" si="3"/>
        <v>-1.1394065050645461E-6</v>
      </c>
      <c r="I49" s="21">
        <f t="shared" si="5"/>
        <v>2182.3572140030551</v>
      </c>
      <c r="J49" s="22">
        <f t="shared" si="6"/>
        <v>7.6881608624363675</v>
      </c>
      <c r="O49" s="4"/>
    </row>
    <row r="50" spans="1:15" x14ac:dyDescent="0.2">
      <c r="A50" s="15">
        <v>49</v>
      </c>
      <c r="B50" s="3">
        <v>45376</v>
      </c>
      <c r="C50" s="4">
        <v>5.46</v>
      </c>
      <c r="D50" s="16">
        <f t="shared" si="0"/>
        <v>5.4600000000000003E-2</v>
      </c>
      <c r="E50" s="17">
        <f t="shared" si="4"/>
        <v>0</v>
      </c>
      <c r="F50" s="18">
        <f t="shared" si="1"/>
        <v>0</v>
      </c>
      <c r="G50" s="19">
        <f t="shared" si="2"/>
        <v>1.1394065050645461E-6</v>
      </c>
      <c r="H50" s="20">
        <f t="shared" si="3"/>
        <v>-1.1394065050645461E-6</v>
      </c>
      <c r="I50" s="21">
        <f t="shared" si="5"/>
        <v>2182.3572140030551</v>
      </c>
      <c r="J50" s="22">
        <f t="shared" si="6"/>
        <v>7.6881608624363675</v>
      </c>
      <c r="O50" s="4"/>
    </row>
    <row r="51" spans="1:15" x14ac:dyDescent="0.2">
      <c r="A51" s="15">
        <v>50</v>
      </c>
      <c r="B51" s="3">
        <v>45373</v>
      </c>
      <c r="C51" s="4">
        <v>5.46</v>
      </c>
      <c r="D51" s="16">
        <f t="shared" si="0"/>
        <v>5.4600000000000003E-2</v>
      </c>
      <c r="E51" s="17">
        <f t="shared" si="4"/>
        <v>-3.6496350364962904E-3</v>
      </c>
      <c r="F51" s="18">
        <f t="shared" si="1"/>
        <v>-1.9999999999999879E-4</v>
      </c>
      <c r="G51" s="19">
        <f t="shared" si="2"/>
        <v>1.0581968308873628E-6</v>
      </c>
      <c r="H51" s="20">
        <f t="shared" si="3"/>
        <v>-2.0105819683088614E-4</v>
      </c>
      <c r="I51" s="21">
        <f t="shared" si="5"/>
        <v>1191.9076453157263</v>
      </c>
      <c r="J51" s="22">
        <f t="shared" si="6"/>
        <v>7.0833103658616858</v>
      </c>
      <c r="O51" s="4"/>
    </row>
    <row r="52" spans="1:15" x14ac:dyDescent="0.2">
      <c r="A52" s="15">
        <v>51</v>
      </c>
      <c r="B52" s="3">
        <v>45372</v>
      </c>
      <c r="C52" s="4">
        <v>5.48</v>
      </c>
      <c r="D52" s="16">
        <f t="shared" si="0"/>
        <v>5.4800000000000001E-2</v>
      </c>
      <c r="E52" s="17">
        <f t="shared" si="4"/>
        <v>1.8281535648994041E-3</v>
      </c>
      <c r="F52" s="18">
        <f t="shared" si="1"/>
        <v>1.0000000000000286E-4</v>
      </c>
      <c r="G52" s="19">
        <f t="shared" si="2"/>
        <v>1.0988016679759558E-6</v>
      </c>
      <c r="H52" s="20">
        <f t="shared" si="3"/>
        <v>9.8901198332026902E-5</v>
      </c>
      <c r="I52" s="21">
        <f t="shared" si="5"/>
        <v>1885.2591706848505</v>
      </c>
      <c r="J52" s="22">
        <f t="shared" si="6"/>
        <v>7.5418205815105752</v>
      </c>
      <c r="O52" s="4"/>
    </row>
    <row r="53" spans="1:15" x14ac:dyDescent="0.2">
      <c r="A53" s="15">
        <v>52</v>
      </c>
      <c r="B53" s="3">
        <v>45371</v>
      </c>
      <c r="C53" s="4">
        <v>5.47</v>
      </c>
      <c r="D53" s="16">
        <f t="shared" si="0"/>
        <v>5.4699999999999999E-2</v>
      </c>
      <c r="E53" s="17">
        <f t="shared" si="4"/>
        <v>-1.8248175182482562E-3</v>
      </c>
      <c r="F53" s="18">
        <f t="shared" si="1"/>
        <v>-1.0000000000000286E-4</v>
      </c>
      <c r="G53" s="19">
        <f t="shared" si="2"/>
        <v>1.0581968308873628E-6</v>
      </c>
      <c r="H53" s="20">
        <f t="shared" si="3"/>
        <v>-1.0105819683089023E-4</v>
      </c>
      <c r="I53" s="21">
        <f t="shared" si="5"/>
        <v>1873.1314136344533</v>
      </c>
      <c r="J53" s="22">
        <f t="shared" si="6"/>
        <v>7.5353668620941363</v>
      </c>
      <c r="O53" s="4"/>
    </row>
    <row r="54" spans="1:15" x14ac:dyDescent="0.2">
      <c r="A54" s="15">
        <v>53</v>
      </c>
      <c r="B54" s="3">
        <v>45370</v>
      </c>
      <c r="C54" s="4">
        <v>5.48</v>
      </c>
      <c r="D54" s="16">
        <f t="shared" si="0"/>
        <v>5.4800000000000001E-2</v>
      </c>
      <c r="E54" s="17">
        <f t="shared" si="4"/>
        <v>0</v>
      </c>
      <c r="F54" s="18">
        <f t="shared" si="1"/>
        <v>0</v>
      </c>
      <c r="G54" s="19">
        <f t="shared" si="2"/>
        <v>1.0581968308873628E-6</v>
      </c>
      <c r="H54" s="20">
        <f t="shared" si="3"/>
        <v>-1.0581968308873628E-6</v>
      </c>
      <c r="I54" s="21">
        <f t="shared" si="5"/>
        <v>2182.3630417664981</v>
      </c>
      <c r="J54" s="22">
        <f t="shared" si="6"/>
        <v>7.6881635328313083</v>
      </c>
      <c r="O54" s="4"/>
    </row>
    <row r="55" spans="1:15" x14ac:dyDescent="0.2">
      <c r="A55" s="15">
        <v>54</v>
      </c>
      <c r="B55" s="3">
        <v>45369</v>
      </c>
      <c r="C55" s="4">
        <v>5.48</v>
      </c>
      <c r="D55" s="16">
        <f t="shared" si="0"/>
        <v>5.4800000000000001E-2</v>
      </c>
      <c r="E55" s="17">
        <f t="shared" si="4"/>
        <v>0</v>
      </c>
      <c r="F55" s="18">
        <f t="shared" si="1"/>
        <v>0</v>
      </c>
      <c r="G55" s="19">
        <f t="shared" si="2"/>
        <v>1.0581968308873628E-6</v>
      </c>
      <c r="H55" s="20">
        <f t="shared" si="3"/>
        <v>-1.0581968308873628E-6</v>
      </c>
      <c r="I55" s="21">
        <f t="shared" si="5"/>
        <v>2182.3630417664981</v>
      </c>
      <c r="J55" s="22">
        <f t="shared" si="6"/>
        <v>7.6881635328313083</v>
      </c>
      <c r="O55" s="4"/>
    </row>
    <row r="56" spans="1:15" x14ac:dyDescent="0.2">
      <c r="A56" s="15">
        <v>55</v>
      </c>
      <c r="B56" s="3">
        <v>45366</v>
      </c>
      <c r="C56" s="4">
        <v>5.48</v>
      </c>
      <c r="D56" s="16">
        <f t="shared" si="0"/>
        <v>5.4800000000000001E-2</v>
      </c>
      <c r="E56" s="17">
        <f t="shared" si="4"/>
        <v>0</v>
      </c>
      <c r="F56" s="18">
        <f t="shared" si="1"/>
        <v>0</v>
      </c>
      <c r="G56" s="19">
        <f t="shared" si="2"/>
        <v>1.0581968308873628E-6</v>
      </c>
      <c r="H56" s="20">
        <f t="shared" si="3"/>
        <v>-1.0581968308873628E-6</v>
      </c>
      <c r="I56" s="21">
        <f t="shared" si="5"/>
        <v>2182.3630417664981</v>
      </c>
      <c r="J56" s="22">
        <f t="shared" si="6"/>
        <v>7.6881635328313083</v>
      </c>
      <c r="O56" s="4"/>
    </row>
    <row r="57" spans="1:15" x14ac:dyDescent="0.2">
      <c r="A57" s="15">
        <v>56</v>
      </c>
      <c r="B57" s="3">
        <v>45365</v>
      </c>
      <c r="C57" s="4">
        <v>5.48</v>
      </c>
      <c r="D57" s="16">
        <f t="shared" si="0"/>
        <v>5.4800000000000001E-2</v>
      </c>
      <c r="E57" s="17">
        <f t="shared" si="4"/>
        <v>0</v>
      </c>
      <c r="F57" s="18">
        <f t="shared" si="1"/>
        <v>0</v>
      </c>
      <c r="G57" s="19">
        <f t="shared" si="2"/>
        <v>1.0581968308873628E-6</v>
      </c>
      <c r="H57" s="20">
        <f t="shared" si="3"/>
        <v>-1.0581968308873628E-6</v>
      </c>
      <c r="I57" s="21">
        <f t="shared" si="5"/>
        <v>2182.3630417664981</v>
      </c>
      <c r="J57" s="22">
        <f t="shared" si="6"/>
        <v>7.6881635328313083</v>
      </c>
      <c r="O57" s="4"/>
    </row>
    <row r="58" spans="1:15" x14ac:dyDescent="0.2">
      <c r="A58" s="15">
        <v>57</v>
      </c>
      <c r="B58" s="3">
        <v>45364</v>
      </c>
      <c r="C58" s="4">
        <v>5.48</v>
      </c>
      <c r="D58" s="16">
        <f t="shared" si="0"/>
        <v>5.4800000000000001E-2</v>
      </c>
      <c r="E58" s="17">
        <f t="shared" si="4"/>
        <v>0</v>
      </c>
      <c r="F58" s="18">
        <f t="shared" si="1"/>
        <v>0</v>
      </c>
      <c r="G58" s="19">
        <f t="shared" si="2"/>
        <v>1.0581968308873628E-6</v>
      </c>
      <c r="H58" s="20">
        <f t="shared" si="3"/>
        <v>-1.0581968308873628E-6</v>
      </c>
      <c r="I58" s="21">
        <f t="shared" si="5"/>
        <v>2182.3630417664981</v>
      </c>
      <c r="J58" s="22">
        <f t="shared" si="6"/>
        <v>7.6881635328313083</v>
      </c>
      <c r="O58" s="4"/>
    </row>
    <row r="59" spans="1:15" x14ac:dyDescent="0.2">
      <c r="A59" s="15">
        <v>58</v>
      </c>
      <c r="B59" s="3">
        <v>45363</v>
      </c>
      <c r="C59" s="4">
        <v>5.48</v>
      </c>
      <c r="D59" s="16">
        <f t="shared" si="0"/>
        <v>5.4800000000000001E-2</v>
      </c>
      <c r="E59" s="17">
        <f t="shared" si="4"/>
        <v>0</v>
      </c>
      <c r="F59" s="18">
        <f t="shared" si="1"/>
        <v>0</v>
      </c>
      <c r="G59" s="19">
        <f t="shared" si="2"/>
        <v>1.0581968308873628E-6</v>
      </c>
      <c r="H59" s="20">
        <f t="shared" si="3"/>
        <v>-1.0581968308873628E-6</v>
      </c>
      <c r="I59" s="21">
        <f t="shared" si="5"/>
        <v>2182.3630417664981</v>
      </c>
      <c r="J59" s="22">
        <f t="shared" si="6"/>
        <v>7.6881635328313083</v>
      </c>
      <c r="O59" s="4"/>
    </row>
    <row r="60" spans="1:15" x14ac:dyDescent="0.2">
      <c r="A60" s="15">
        <v>59</v>
      </c>
      <c r="B60" s="3">
        <v>45362</v>
      </c>
      <c r="C60" s="4">
        <v>5.48</v>
      </c>
      <c r="D60" s="16">
        <f t="shared" si="0"/>
        <v>5.4800000000000001E-2</v>
      </c>
      <c r="E60" s="17">
        <f t="shared" si="4"/>
        <v>3.66300366300365E-3</v>
      </c>
      <c r="F60" s="18">
        <f t="shared" si="1"/>
        <v>1.9999999999999879E-4</v>
      </c>
      <c r="G60" s="19">
        <f t="shared" si="2"/>
        <v>1.1394065050645461E-6</v>
      </c>
      <c r="H60" s="20">
        <f t="shared" si="3"/>
        <v>1.9886059349493425E-4</v>
      </c>
      <c r="I60" s="21">
        <f t="shared" si="5"/>
        <v>1207.685241998483</v>
      </c>
      <c r="J60" s="22">
        <f t="shared" si="6"/>
        <v>7.0964607832832431</v>
      </c>
      <c r="O60" s="4"/>
    </row>
    <row r="61" spans="1:15" x14ac:dyDescent="0.2">
      <c r="A61" s="15">
        <v>60</v>
      </c>
      <c r="B61" s="3">
        <v>45359</v>
      </c>
      <c r="C61" s="4">
        <v>5.46</v>
      </c>
      <c r="D61" s="16">
        <f t="shared" si="0"/>
        <v>5.4600000000000003E-2</v>
      </c>
      <c r="E61" s="17">
        <f t="shared" si="4"/>
        <v>-1.8281535648994041E-3</v>
      </c>
      <c r="F61" s="18">
        <f t="shared" si="1"/>
        <v>-9.9999999999995925E-5</v>
      </c>
      <c r="G61" s="19">
        <f t="shared" si="2"/>
        <v>1.0988016679759558E-6</v>
      </c>
      <c r="H61" s="20">
        <f t="shared" si="3"/>
        <v>-1.0109880166797189E-4</v>
      </c>
      <c r="I61" s="21">
        <f t="shared" si="5"/>
        <v>1872.901361348836</v>
      </c>
      <c r="J61" s="22">
        <f t="shared" si="6"/>
        <v>7.5352440376023475</v>
      </c>
      <c r="O61" s="4"/>
    </row>
    <row r="62" spans="1:15" x14ac:dyDescent="0.2">
      <c r="A62" s="15">
        <v>61</v>
      </c>
      <c r="B62" s="3">
        <v>45358</v>
      </c>
      <c r="C62" s="4">
        <v>5.47</v>
      </c>
      <c r="D62" s="16">
        <f t="shared" si="0"/>
        <v>5.4699999999999999E-2</v>
      </c>
      <c r="E62" s="17">
        <f t="shared" si="4"/>
        <v>0</v>
      </c>
      <c r="F62" s="18">
        <f t="shared" si="1"/>
        <v>0</v>
      </c>
      <c r="G62" s="19">
        <f t="shared" si="2"/>
        <v>1.0988016679759558E-6</v>
      </c>
      <c r="H62" s="20">
        <f t="shared" si="3"/>
        <v>-1.0988016679759558E-6</v>
      </c>
      <c r="I62" s="21">
        <f t="shared" si="5"/>
        <v>2182.3601817222534</v>
      </c>
      <c r="J62" s="22">
        <f t="shared" si="6"/>
        <v>7.6881622223041113</v>
      </c>
      <c r="O62" s="4"/>
    </row>
    <row r="63" spans="1:15" x14ac:dyDescent="0.2">
      <c r="A63" s="15">
        <v>62</v>
      </c>
      <c r="B63" s="3">
        <v>45357</v>
      </c>
      <c r="C63" s="4">
        <v>5.47</v>
      </c>
      <c r="D63" s="16">
        <f t="shared" si="0"/>
        <v>5.4699999999999999E-2</v>
      </c>
      <c r="E63" s="17">
        <f t="shared" si="4"/>
        <v>0</v>
      </c>
      <c r="F63" s="18">
        <f t="shared" si="1"/>
        <v>0</v>
      </c>
      <c r="G63" s="19">
        <f t="shared" si="2"/>
        <v>1.0988016679759558E-6</v>
      </c>
      <c r="H63" s="20">
        <f t="shared" si="3"/>
        <v>-1.0988016679759558E-6</v>
      </c>
      <c r="I63" s="21">
        <f t="shared" si="5"/>
        <v>2182.3601817222534</v>
      </c>
      <c r="J63" s="22">
        <f t="shared" si="6"/>
        <v>7.6881622223041113</v>
      </c>
      <c r="O63" s="4"/>
    </row>
    <row r="64" spans="1:15" x14ac:dyDescent="0.2">
      <c r="A64" s="15">
        <v>63</v>
      </c>
      <c r="B64" s="3">
        <v>45356</v>
      </c>
      <c r="C64" s="4">
        <v>5.47</v>
      </c>
      <c r="D64" s="16">
        <f t="shared" si="0"/>
        <v>5.4699999999999999E-2</v>
      </c>
      <c r="E64" s="17">
        <f t="shared" si="4"/>
        <v>-1.8248175182482562E-3</v>
      </c>
      <c r="F64" s="18">
        <f t="shared" si="1"/>
        <v>-1.0000000000000286E-4</v>
      </c>
      <c r="G64" s="19">
        <f t="shared" si="2"/>
        <v>1.0581968308873628E-6</v>
      </c>
      <c r="H64" s="20">
        <f t="shared" si="3"/>
        <v>-1.0105819683089023E-4</v>
      </c>
      <c r="I64" s="21">
        <f t="shared" si="5"/>
        <v>1873.1314136344533</v>
      </c>
      <c r="J64" s="22">
        <f t="shared" si="6"/>
        <v>7.5353668620941363</v>
      </c>
      <c r="O64" s="4"/>
    </row>
    <row r="65" spans="1:15" x14ac:dyDescent="0.2">
      <c r="A65" s="15">
        <v>64</v>
      </c>
      <c r="B65" s="3">
        <v>45355</v>
      </c>
      <c r="C65" s="4">
        <v>5.48</v>
      </c>
      <c r="D65" s="16">
        <f t="shared" si="0"/>
        <v>5.4800000000000001E-2</v>
      </c>
      <c r="E65" s="17">
        <f t="shared" si="4"/>
        <v>1.1070110701107083E-2</v>
      </c>
      <c r="F65" s="18">
        <f t="shared" si="1"/>
        <v>6.0000000000000331E-4</v>
      </c>
      <c r="G65" s="19">
        <f t="shared" si="2"/>
        <v>1.3018258534189152E-6</v>
      </c>
      <c r="H65" s="20">
        <f t="shared" si="3"/>
        <v>5.9869817414658435E-4</v>
      </c>
      <c r="I65" s="21">
        <f t="shared" si="5"/>
        <v>10.225178114698391</v>
      </c>
      <c r="J65" s="22">
        <f t="shared" si="6"/>
        <v>2.3248531213075521</v>
      </c>
      <c r="O65" s="4"/>
    </row>
    <row r="66" spans="1:15" x14ac:dyDescent="0.2">
      <c r="A66" s="15">
        <v>65</v>
      </c>
      <c r="B66" s="3">
        <v>45352</v>
      </c>
      <c r="C66" s="4">
        <v>5.42</v>
      </c>
      <c r="D66" s="16">
        <f t="shared" si="0"/>
        <v>5.4199999999999998E-2</v>
      </c>
      <c r="E66" s="17">
        <f t="shared" si="4"/>
        <v>-5.5045871559633586E-3</v>
      </c>
      <c r="F66" s="18">
        <f t="shared" ref="F66:F129" si="7">D66-D67</f>
        <v>-3.0000000000000165E-4</v>
      </c>
      <c r="G66" s="19">
        <f t="shared" ref="G66:G129" si="8">$O$2*($O$3-D67)*$O$7</f>
        <v>1.1800113421531391E-6</v>
      </c>
      <c r="H66" s="20">
        <f t="shared" ref="H66:H129" si="9">F66-G66</f>
        <v>-3.0118001134215477E-4</v>
      </c>
      <c r="I66" s="21">
        <f t="shared" si="5"/>
        <v>561.65980579902759</v>
      </c>
      <c r="J66" s="22">
        <f t="shared" si="6"/>
        <v>6.3308963388491364</v>
      </c>
      <c r="O66" s="4"/>
    </row>
    <row r="67" spans="1:15" x14ac:dyDescent="0.2">
      <c r="A67" s="15">
        <v>66</v>
      </c>
      <c r="B67" s="3">
        <v>45351</v>
      </c>
      <c r="C67" s="4">
        <v>5.45</v>
      </c>
      <c r="D67" s="16">
        <f t="shared" ref="D67:D130" si="10">C67/100</f>
        <v>5.45E-2</v>
      </c>
      <c r="E67" s="17">
        <f t="shared" ref="E67:E130" si="11">(D67/D68-1)</f>
        <v>0</v>
      </c>
      <c r="F67" s="18">
        <f t="shared" si="7"/>
        <v>0</v>
      </c>
      <c r="G67" s="19">
        <f t="shared" si="8"/>
        <v>1.1800113421531391E-6</v>
      </c>
      <c r="H67" s="20">
        <f t="shared" si="9"/>
        <v>-1.1800113421531391E-6</v>
      </c>
      <c r="I67" s="21">
        <f t="shared" ref="I67:I130" si="12">NORMDIST(H67,0,$O$4,FALSE)</f>
        <v>2182.354138609342</v>
      </c>
      <c r="J67" s="22">
        <f t="shared" ref="J67:J130" si="13">LN(I67)</f>
        <v>7.688159453228077</v>
      </c>
      <c r="O67" s="4"/>
    </row>
    <row r="68" spans="1:15" x14ac:dyDescent="0.2">
      <c r="A68" s="15">
        <v>67</v>
      </c>
      <c r="B68" s="3">
        <v>45350</v>
      </c>
      <c r="C68" s="4">
        <v>5.45</v>
      </c>
      <c r="D68" s="16">
        <f t="shared" si="10"/>
        <v>5.45E-2</v>
      </c>
      <c r="E68" s="17">
        <f t="shared" si="11"/>
        <v>0</v>
      </c>
      <c r="F68" s="18">
        <f t="shared" si="7"/>
        <v>0</v>
      </c>
      <c r="G68" s="19">
        <f t="shared" si="8"/>
        <v>1.1800113421531391E-6</v>
      </c>
      <c r="H68" s="20">
        <f t="shared" si="9"/>
        <v>-1.1800113421531391E-6</v>
      </c>
      <c r="I68" s="21">
        <f t="shared" si="12"/>
        <v>2182.354138609342</v>
      </c>
      <c r="J68" s="22">
        <f t="shared" si="13"/>
        <v>7.688159453228077</v>
      </c>
      <c r="O68" s="4"/>
    </row>
    <row r="69" spans="1:15" x14ac:dyDescent="0.2">
      <c r="A69" s="15">
        <v>68</v>
      </c>
      <c r="B69" s="3">
        <v>45349</v>
      </c>
      <c r="C69" s="4">
        <v>5.45</v>
      </c>
      <c r="D69" s="16">
        <f t="shared" si="10"/>
        <v>5.45E-2</v>
      </c>
      <c r="E69" s="17">
        <f t="shared" si="11"/>
        <v>-3.6563071297989191E-3</v>
      </c>
      <c r="F69" s="18">
        <f t="shared" si="7"/>
        <v>-1.9999999999999879E-4</v>
      </c>
      <c r="G69" s="19">
        <f t="shared" si="8"/>
        <v>1.0988016679759558E-6</v>
      </c>
      <c r="H69" s="20">
        <f t="shared" si="9"/>
        <v>-2.0109880166797474E-4</v>
      </c>
      <c r="I69" s="21">
        <f t="shared" si="12"/>
        <v>1191.6164520177786</v>
      </c>
      <c r="J69" s="22">
        <f t="shared" si="13"/>
        <v>7.0830660274052617</v>
      </c>
      <c r="O69" s="4"/>
    </row>
    <row r="70" spans="1:15" x14ac:dyDescent="0.2">
      <c r="A70" s="15">
        <v>69</v>
      </c>
      <c r="B70" s="3">
        <v>45348</v>
      </c>
      <c r="C70" s="4">
        <v>5.47</v>
      </c>
      <c r="D70" s="16">
        <f t="shared" si="10"/>
        <v>5.4699999999999999E-2</v>
      </c>
      <c r="E70" s="17">
        <f t="shared" si="11"/>
        <v>1.831501831501825E-3</v>
      </c>
      <c r="F70" s="18">
        <f t="shared" si="7"/>
        <v>9.9999999999995925E-5</v>
      </c>
      <c r="G70" s="19">
        <f t="shared" si="8"/>
        <v>1.1394065050645461E-6</v>
      </c>
      <c r="H70" s="20">
        <f t="shared" si="9"/>
        <v>9.8860593494931381E-5</v>
      </c>
      <c r="I70" s="21">
        <f t="shared" si="12"/>
        <v>1885.4857059072042</v>
      </c>
      <c r="J70" s="22">
        <f t="shared" si="13"/>
        <v>7.5419407356074659</v>
      </c>
      <c r="O70" s="4"/>
    </row>
    <row r="71" spans="1:15" x14ac:dyDescent="0.2">
      <c r="A71" s="15">
        <v>70</v>
      </c>
      <c r="B71" s="3">
        <v>45345</v>
      </c>
      <c r="C71" s="4">
        <v>5.46</v>
      </c>
      <c r="D71" s="16">
        <f t="shared" si="10"/>
        <v>5.4600000000000003E-2</v>
      </c>
      <c r="E71" s="17">
        <f t="shared" si="11"/>
        <v>1.8348623853210455E-3</v>
      </c>
      <c r="F71" s="18">
        <f t="shared" si="7"/>
        <v>1.0000000000000286E-4</v>
      </c>
      <c r="G71" s="19">
        <f t="shared" si="8"/>
        <v>1.1800113421531391E-6</v>
      </c>
      <c r="H71" s="20">
        <f t="shared" si="9"/>
        <v>9.8819988657849724E-5</v>
      </c>
      <c r="I71" s="21">
        <f t="shared" si="12"/>
        <v>1885.7121753081776</v>
      </c>
      <c r="J71" s="22">
        <f t="shared" si="13"/>
        <v>7.5420608403637681</v>
      </c>
      <c r="O71" s="4"/>
    </row>
    <row r="72" spans="1:15" x14ac:dyDescent="0.2">
      <c r="A72" s="15">
        <v>71</v>
      </c>
      <c r="B72" s="3">
        <v>45344</v>
      </c>
      <c r="C72" s="4">
        <v>5.45</v>
      </c>
      <c r="D72" s="16">
        <f t="shared" si="10"/>
        <v>5.45E-2</v>
      </c>
      <c r="E72" s="17">
        <f t="shared" si="11"/>
        <v>1.8382352941175295E-3</v>
      </c>
      <c r="F72" s="18">
        <f t="shared" si="7"/>
        <v>9.9999999999995925E-5</v>
      </c>
      <c r="G72" s="19">
        <f t="shared" si="8"/>
        <v>1.2206161792417292E-6</v>
      </c>
      <c r="H72" s="20">
        <f t="shared" si="9"/>
        <v>9.8779383820754202E-5</v>
      </c>
      <c r="I72" s="21">
        <f t="shared" si="12"/>
        <v>1885.9385788576703</v>
      </c>
      <c r="J72" s="22">
        <f t="shared" si="13"/>
        <v>7.5421808957795644</v>
      </c>
      <c r="O72" s="4"/>
    </row>
    <row r="73" spans="1:15" x14ac:dyDescent="0.2">
      <c r="A73" s="15">
        <v>72</v>
      </c>
      <c r="B73" s="3">
        <v>45343</v>
      </c>
      <c r="C73" s="4">
        <v>5.44</v>
      </c>
      <c r="D73" s="16">
        <f t="shared" si="10"/>
        <v>5.4400000000000004E-2</v>
      </c>
      <c r="E73" s="17">
        <f t="shared" si="11"/>
        <v>0</v>
      </c>
      <c r="F73" s="18">
        <f t="shared" si="7"/>
        <v>0</v>
      </c>
      <c r="G73" s="19">
        <f t="shared" si="8"/>
        <v>1.2206161792417292E-6</v>
      </c>
      <c r="H73" s="20">
        <f t="shared" si="9"/>
        <v>-1.2206161792417292E-6</v>
      </c>
      <c r="I73" s="21">
        <f t="shared" si="12"/>
        <v>2182.3509555415694</v>
      </c>
      <c r="J73" s="22">
        <f t="shared" si="13"/>
        <v>7.688157994679238</v>
      </c>
      <c r="O73" s="4"/>
    </row>
    <row r="74" spans="1:15" x14ac:dyDescent="0.2">
      <c r="A74" s="15">
        <v>73</v>
      </c>
      <c r="B74" s="3">
        <v>45342</v>
      </c>
      <c r="C74" s="4">
        <v>5.44</v>
      </c>
      <c r="D74" s="16">
        <f t="shared" si="10"/>
        <v>5.4400000000000004E-2</v>
      </c>
      <c r="E74" s="17">
        <f t="shared" si="11"/>
        <v>0</v>
      </c>
      <c r="F74" s="18">
        <f t="shared" si="7"/>
        <v>0</v>
      </c>
      <c r="G74" s="19">
        <f t="shared" si="8"/>
        <v>1.2206161792417292E-6</v>
      </c>
      <c r="H74" s="20">
        <f t="shared" si="9"/>
        <v>-1.2206161792417292E-6</v>
      </c>
      <c r="I74" s="21">
        <f t="shared" si="12"/>
        <v>2182.3509555415694</v>
      </c>
      <c r="J74" s="22">
        <f t="shared" si="13"/>
        <v>7.688157994679238</v>
      </c>
      <c r="O74" s="4"/>
    </row>
    <row r="75" spans="1:15" x14ac:dyDescent="0.2">
      <c r="A75" s="15">
        <v>74</v>
      </c>
      <c r="B75" s="3">
        <v>45338</v>
      </c>
      <c r="C75" s="4">
        <v>5.44</v>
      </c>
      <c r="D75" s="16">
        <f t="shared" si="10"/>
        <v>5.4400000000000004E-2</v>
      </c>
      <c r="E75" s="17">
        <f t="shared" si="11"/>
        <v>1.8416206261511192E-3</v>
      </c>
      <c r="F75" s="18">
        <f t="shared" si="7"/>
        <v>1.000000000000098E-4</v>
      </c>
      <c r="G75" s="19">
        <f t="shared" si="8"/>
        <v>1.2612210163303249E-6</v>
      </c>
      <c r="H75" s="20">
        <f t="shared" si="9"/>
        <v>9.8738778983679484E-5</v>
      </c>
      <c r="I75" s="21">
        <f t="shared" si="12"/>
        <v>1886.1649165252388</v>
      </c>
      <c r="J75" s="22">
        <f t="shared" si="13"/>
        <v>7.5423009018547518</v>
      </c>
      <c r="O75" s="4"/>
    </row>
    <row r="76" spans="1:15" x14ac:dyDescent="0.2">
      <c r="A76" s="15">
        <v>75</v>
      </c>
      <c r="B76" s="3">
        <v>45337</v>
      </c>
      <c r="C76" s="4">
        <v>5.43</v>
      </c>
      <c r="D76" s="16">
        <f t="shared" si="10"/>
        <v>5.4299999999999994E-2</v>
      </c>
      <c r="E76" s="17">
        <f t="shared" si="11"/>
        <v>0</v>
      </c>
      <c r="F76" s="18">
        <f t="shared" si="7"/>
        <v>0</v>
      </c>
      <c r="G76" s="19">
        <f t="shared" si="8"/>
        <v>1.2612210163303249E-6</v>
      </c>
      <c r="H76" s="20">
        <f t="shared" si="9"/>
        <v>-1.2612210163303249E-6</v>
      </c>
      <c r="I76" s="21">
        <f t="shared" si="12"/>
        <v>2182.3476648002083</v>
      </c>
      <c r="J76" s="22">
        <f t="shared" si="13"/>
        <v>7.6881564867898522</v>
      </c>
      <c r="O76" s="4"/>
    </row>
    <row r="77" spans="1:15" x14ac:dyDescent="0.2">
      <c r="A77" s="15">
        <v>76</v>
      </c>
      <c r="B77" s="3">
        <v>45336</v>
      </c>
      <c r="C77" s="4">
        <v>5.43</v>
      </c>
      <c r="D77" s="16">
        <f t="shared" si="10"/>
        <v>5.4299999999999994E-2</v>
      </c>
      <c r="E77" s="17">
        <f t="shared" si="11"/>
        <v>-3.6697247706423131E-3</v>
      </c>
      <c r="F77" s="18">
        <f t="shared" si="7"/>
        <v>-2.0000000000000573E-4</v>
      </c>
      <c r="G77" s="19">
        <f t="shared" si="8"/>
        <v>1.1800113421531391E-6</v>
      </c>
      <c r="H77" s="20">
        <f t="shared" si="9"/>
        <v>-2.0118001134215887E-4</v>
      </c>
      <c r="I77" s="21">
        <f t="shared" si="12"/>
        <v>1191.0341025287048</v>
      </c>
      <c r="J77" s="22">
        <f t="shared" si="13"/>
        <v>7.0825772024707296</v>
      </c>
      <c r="O77" s="4"/>
    </row>
    <row r="78" spans="1:15" x14ac:dyDescent="0.2">
      <c r="A78" s="15">
        <v>77</v>
      </c>
      <c r="B78" s="3">
        <v>45335</v>
      </c>
      <c r="C78" s="4">
        <v>5.45</v>
      </c>
      <c r="D78" s="16">
        <f t="shared" si="10"/>
        <v>5.45E-2</v>
      </c>
      <c r="E78" s="17">
        <f t="shared" si="11"/>
        <v>3.6832412523022384E-3</v>
      </c>
      <c r="F78" s="18">
        <f t="shared" si="7"/>
        <v>2.0000000000000573E-4</v>
      </c>
      <c r="G78" s="19">
        <f t="shared" si="8"/>
        <v>1.2612210163303249E-6</v>
      </c>
      <c r="H78" s="20">
        <f t="shared" si="9"/>
        <v>1.987387789836754E-4</v>
      </c>
      <c r="I78" s="21">
        <f t="shared" si="12"/>
        <v>1208.5607785411892</v>
      </c>
      <c r="J78" s="22">
        <f t="shared" si="13"/>
        <v>7.0971854914243711</v>
      </c>
      <c r="O78" s="4"/>
    </row>
    <row r="79" spans="1:15" x14ac:dyDescent="0.2">
      <c r="A79" s="15">
        <v>78</v>
      </c>
      <c r="B79" s="3">
        <v>45334</v>
      </c>
      <c r="C79" s="4">
        <v>5.43</v>
      </c>
      <c r="D79" s="16">
        <f t="shared" si="10"/>
        <v>5.4299999999999994E-2</v>
      </c>
      <c r="E79" s="17">
        <f t="shared" si="11"/>
        <v>-1.8382352941178626E-3</v>
      </c>
      <c r="F79" s="18">
        <f t="shared" si="7"/>
        <v>-1.000000000000098E-4</v>
      </c>
      <c r="G79" s="19">
        <f t="shared" si="8"/>
        <v>1.2206161792417292E-6</v>
      </c>
      <c r="H79" s="20">
        <f t="shared" si="9"/>
        <v>-1.0122061617925153E-4</v>
      </c>
      <c r="I79" s="21">
        <f t="shared" si="12"/>
        <v>1872.2108197483046</v>
      </c>
      <c r="J79" s="22">
        <f t="shared" si="13"/>
        <v>7.5348752680835904</v>
      </c>
      <c r="O79" s="4"/>
    </row>
    <row r="80" spans="1:15" x14ac:dyDescent="0.2">
      <c r="A80" s="15">
        <v>79</v>
      </c>
      <c r="B80" s="3">
        <v>45331</v>
      </c>
      <c r="C80" s="4">
        <v>5.44</v>
      </c>
      <c r="D80" s="16">
        <f t="shared" si="10"/>
        <v>5.4400000000000004E-2</v>
      </c>
      <c r="E80" s="17">
        <f t="shared" si="11"/>
        <v>0</v>
      </c>
      <c r="F80" s="18">
        <f t="shared" si="7"/>
        <v>0</v>
      </c>
      <c r="G80" s="19">
        <f t="shared" si="8"/>
        <v>1.2206161792417292E-6</v>
      </c>
      <c r="H80" s="20">
        <f t="shared" si="9"/>
        <v>-1.2206161792417292E-6</v>
      </c>
      <c r="I80" s="21">
        <f t="shared" si="12"/>
        <v>2182.3509555415694</v>
      </c>
      <c r="J80" s="22">
        <f t="shared" si="13"/>
        <v>7.688157994679238</v>
      </c>
      <c r="O80" s="4"/>
    </row>
    <row r="81" spans="1:15" x14ac:dyDescent="0.2">
      <c r="A81" s="15">
        <v>80</v>
      </c>
      <c r="B81" s="3">
        <v>45330</v>
      </c>
      <c r="C81" s="4">
        <v>5.44</v>
      </c>
      <c r="D81" s="16">
        <f t="shared" si="10"/>
        <v>5.4400000000000004E-2</v>
      </c>
      <c r="E81" s="17">
        <f t="shared" si="11"/>
        <v>1.8416206261511192E-3</v>
      </c>
      <c r="F81" s="18">
        <f t="shared" si="7"/>
        <v>1.000000000000098E-4</v>
      </c>
      <c r="G81" s="19">
        <f t="shared" si="8"/>
        <v>1.2612210163303249E-6</v>
      </c>
      <c r="H81" s="20">
        <f t="shared" si="9"/>
        <v>9.8738778983679484E-5</v>
      </c>
      <c r="I81" s="21">
        <f t="shared" si="12"/>
        <v>1886.1649165252388</v>
      </c>
      <c r="J81" s="22">
        <f t="shared" si="13"/>
        <v>7.5423009018547518</v>
      </c>
      <c r="O81" s="4"/>
    </row>
    <row r="82" spans="1:15" x14ac:dyDescent="0.2">
      <c r="A82" s="15">
        <v>81</v>
      </c>
      <c r="B82" s="3">
        <v>45329</v>
      </c>
      <c r="C82" s="4">
        <v>5.43</v>
      </c>
      <c r="D82" s="16">
        <f t="shared" si="10"/>
        <v>5.4299999999999994E-2</v>
      </c>
      <c r="E82" s="17">
        <f t="shared" si="11"/>
        <v>-1.8382352941178626E-3</v>
      </c>
      <c r="F82" s="18">
        <f t="shared" si="7"/>
        <v>-1.000000000000098E-4</v>
      </c>
      <c r="G82" s="19">
        <f t="shared" si="8"/>
        <v>1.2206161792417292E-6</v>
      </c>
      <c r="H82" s="20">
        <f t="shared" si="9"/>
        <v>-1.0122061617925153E-4</v>
      </c>
      <c r="I82" s="21">
        <f t="shared" si="12"/>
        <v>1872.2108197483046</v>
      </c>
      <c r="J82" s="22">
        <f t="shared" si="13"/>
        <v>7.5348752680835904</v>
      </c>
      <c r="O82" s="4"/>
    </row>
    <row r="83" spans="1:15" x14ac:dyDescent="0.2">
      <c r="A83" s="15">
        <v>82</v>
      </c>
      <c r="B83" s="3">
        <v>45328</v>
      </c>
      <c r="C83" s="4">
        <v>5.44</v>
      </c>
      <c r="D83" s="16">
        <f t="shared" si="10"/>
        <v>5.4400000000000004E-2</v>
      </c>
      <c r="E83" s="17">
        <f t="shared" si="11"/>
        <v>3.6900369003691758E-3</v>
      </c>
      <c r="F83" s="18">
        <f t="shared" si="7"/>
        <v>2.0000000000000573E-4</v>
      </c>
      <c r="G83" s="19">
        <f t="shared" si="8"/>
        <v>1.3018258534189152E-6</v>
      </c>
      <c r="H83" s="20">
        <f t="shared" si="9"/>
        <v>1.986981741465868E-4</v>
      </c>
      <c r="I83" s="21">
        <f t="shared" si="12"/>
        <v>1208.8526457948005</v>
      </c>
      <c r="J83" s="22">
        <f t="shared" si="13"/>
        <v>7.0974269621236656</v>
      </c>
      <c r="O83" s="4"/>
    </row>
    <row r="84" spans="1:15" x14ac:dyDescent="0.2">
      <c r="A84" s="15">
        <v>83</v>
      </c>
      <c r="B84" s="3">
        <v>45327</v>
      </c>
      <c r="C84" s="4">
        <v>5.42</v>
      </c>
      <c r="D84" s="16">
        <f t="shared" si="10"/>
        <v>5.4199999999999998E-2</v>
      </c>
      <c r="E84" s="17">
        <f t="shared" si="11"/>
        <v>-1.8416206261508972E-3</v>
      </c>
      <c r="F84" s="18">
        <f t="shared" si="7"/>
        <v>-9.9999999999995925E-5</v>
      </c>
      <c r="G84" s="19">
        <f t="shared" si="8"/>
        <v>1.2612210163303249E-6</v>
      </c>
      <c r="H84" s="20">
        <f t="shared" si="9"/>
        <v>-1.0126122101632624E-4</v>
      </c>
      <c r="I84" s="21">
        <f t="shared" si="12"/>
        <v>1871.9805110690502</v>
      </c>
      <c r="J84" s="22">
        <f t="shared" si="13"/>
        <v>7.5347522462296324</v>
      </c>
      <c r="O84" s="4"/>
    </row>
    <row r="85" spans="1:15" x14ac:dyDescent="0.2">
      <c r="A85" s="15">
        <v>84</v>
      </c>
      <c r="B85" s="3">
        <v>45324</v>
      </c>
      <c r="C85" s="4">
        <v>5.43</v>
      </c>
      <c r="D85" s="16">
        <f t="shared" si="10"/>
        <v>5.4299999999999994E-2</v>
      </c>
      <c r="E85" s="17">
        <f t="shared" si="11"/>
        <v>1.8450184501843658E-3</v>
      </c>
      <c r="F85" s="18">
        <f t="shared" si="7"/>
        <v>9.9999999999995925E-5</v>
      </c>
      <c r="G85" s="19">
        <f t="shared" si="8"/>
        <v>1.3018258534189152E-6</v>
      </c>
      <c r="H85" s="20">
        <f t="shared" si="9"/>
        <v>9.869817414657701E-5</v>
      </c>
      <c r="I85" s="21">
        <f t="shared" si="12"/>
        <v>1886.3911882809116</v>
      </c>
      <c r="J85" s="22">
        <f t="shared" si="13"/>
        <v>7.5424208585894732</v>
      </c>
      <c r="O85" s="4"/>
    </row>
    <row r="86" spans="1:15" x14ac:dyDescent="0.2">
      <c r="A86" s="15">
        <v>85</v>
      </c>
      <c r="B86" s="3">
        <v>45323</v>
      </c>
      <c r="C86" s="4">
        <v>5.42</v>
      </c>
      <c r="D86" s="16">
        <f t="shared" si="10"/>
        <v>5.4199999999999998E-2</v>
      </c>
      <c r="E86" s="17">
        <f t="shared" si="11"/>
        <v>0</v>
      </c>
      <c r="F86" s="18">
        <f t="shared" si="7"/>
        <v>0</v>
      </c>
      <c r="G86" s="19">
        <f t="shared" si="8"/>
        <v>1.3018258534189152E-6</v>
      </c>
      <c r="H86" s="20">
        <f t="shared" si="9"/>
        <v>-1.3018258534189152E-6</v>
      </c>
      <c r="I86" s="21">
        <f t="shared" si="12"/>
        <v>2182.3442663857463</v>
      </c>
      <c r="J86" s="22">
        <f t="shared" si="13"/>
        <v>7.6881549295599196</v>
      </c>
      <c r="O86" s="4"/>
    </row>
    <row r="87" spans="1:15" x14ac:dyDescent="0.2">
      <c r="A87" s="15">
        <v>86</v>
      </c>
      <c r="B87" s="3">
        <v>45322</v>
      </c>
      <c r="C87" s="4">
        <v>5.42</v>
      </c>
      <c r="D87" s="16">
        <f t="shared" si="10"/>
        <v>5.4199999999999998E-2</v>
      </c>
      <c r="E87" s="17">
        <f t="shared" si="11"/>
        <v>0</v>
      </c>
      <c r="F87" s="18">
        <f t="shared" si="7"/>
        <v>0</v>
      </c>
      <c r="G87" s="19">
        <f t="shared" si="8"/>
        <v>1.3018258534189152E-6</v>
      </c>
      <c r="H87" s="20">
        <f t="shared" si="9"/>
        <v>-1.3018258534189152E-6</v>
      </c>
      <c r="I87" s="21">
        <f t="shared" si="12"/>
        <v>2182.3442663857463</v>
      </c>
      <c r="J87" s="22">
        <f t="shared" si="13"/>
        <v>7.6881549295599196</v>
      </c>
      <c r="O87" s="4"/>
    </row>
    <row r="88" spans="1:15" x14ac:dyDescent="0.2">
      <c r="A88" s="15">
        <v>87</v>
      </c>
      <c r="B88" s="3">
        <v>45321</v>
      </c>
      <c r="C88" s="4">
        <v>5.42</v>
      </c>
      <c r="D88" s="16">
        <f t="shared" si="10"/>
        <v>5.4199999999999998E-2</v>
      </c>
      <c r="E88" s="17">
        <f t="shared" si="11"/>
        <v>0</v>
      </c>
      <c r="F88" s="18">
        <f t="shared" si="7"/>
        <v>0</v>
      </c>
      <c r="G88" s="19">
        <f t="shared" si="8"/>
        <v>1.3018258534189152E-6</v>
      </c>
      <c r="H88" s="20">
        <f t="shared" si="9"/>
        <v>-1.3018258534189152E-6</v>
      </c>
      <c r="I88" s="21">
        <f t="shared" si="12"/>
        <v>2182.3442663857463</v>
      </c>
      <c r="J88" s="22">
        <f t="shared" si="13"/>
        <v>7.6881549295599196</v>
      </c>
      <c r="O88" s="4"/>
    </row>
    <row r="89" spans="1:15" x14ac:dyDescent="0.2">
      <c r="A89" s="15">
        <v>88</v>
      </c>
      <c r="B89" s="3">
        <v>45320</v>
      </c>
      <c r="C89" s="4">
        <v>5.42</v>
      </c>
      <c r="D89" s="16">
        <f t="shared" si="10"/>
        <v>5.4199999999999998E-2</v>
      </c>
      <c r="E89" s="17">
        <f t="shared" si="11"/>
        <v>-3.6764705882353921E-3</v>
      </c>
      <c r="F89" s="18">
        <f t="shared" si="7"/>
        <v>-2.0000000000000573E-4</v>
      </c>
      <c r="G89" s="19">
        <f t="shared" si="8"/>
        <v>1.2206161792417292E-6</v>
      </c>
      <c r="H89" s="20">
        <f t="shared" si="9"/>
        <v>-2.0122061617924747E-4</v>
      </c>
      <c r="I89" s="21">
        <f t="shared" si="12"/>
        <v>1190.7429463890403</v>
      </c>
      <c r="J89" s="22">
        <f t="shared" si="13"/>
        <v>7.0823327159926626</v>
      </c>
      <c r="O89" s="4"/>
    </row>
    <row r="90" spans="1:15" x14ac:dyDescent="0.2">
      <c r="A90" s="15">
        <v>89</v>
      </c>
      <c r="B90" s="3">
        <v>45317</v>
      </c>
      <c r="C90" s="4">
        <v>5.44</v>
      </c>
      <c r="D90" s="16">
        <f t="shared" si="10"/>
        <v>5.4400000000000004E-2</v>
      </c>
      <c r="E90" s="17">
        <f t="shared" si="11"/>
        <v>0</v>
      </c>
      <c r="F90" s="18">
        <f t="shared" si="7"/>
        <v>0</v>
      </c>
      <c r="G90" s="19">
        <f t="shared" si="8"/>
        <v>1.2206161792417292E-6</v>
      </c>
      <c r="H90" s="20">
        <f t="shared" si="9"/>
        <v>-1.2206161792417292E-6</v>
      </c>
      <c r="I90" s="21">
        <f t="shared" si="12"/>
        <v>2182.3509555415694</v>
      </c>
      <c r="J90" s="22">
        <f t="shared" si="13"/>
        <v>7.688157994679238</v>
      </c>
      <c r="O90" s="4"/>
    </row>
    <row r="91" spans="1:15" x14ac:dyDescent="0.2">
      <c r="A91" s="15">
        <v>90</v>
      </c>
      <c r="B91" s="3">
        <v>45316</v>
      </c>
      <c r="C91" s="4">
        <v>5.44</v>
      </c>
      <c r="D91" s="16">
        <f t="shared" si="10"/>
        <v>5.4400000000000004E-2</v>
      </c>
      <c r="E91" s="17">
        <f t="shared" si="11"/>
        <v>0</v>
      </c>
      <c r="F91" s="18">
        <f t="shared" si="7"/>
        <v>0</v>
      </c>
      <c r="G91" s="19">
        <f t="shared" si="8"/>
        <v>1.2206161792417292E-6</v>
      </c>
      <c r="H91" s="20">
        <f t="shared" si="9"/>
        <v>-1.2206161792417292E-6</v>
      </c>
      <c r="I91" s="21">
        <f t="shared" si="12"/>
        <v>2182.3509555415694</v>
      </c>
      <c r="J91" s="22">
        <f t="shared" si="13"/>
        <v>7.688157994679238</v>
      </c>
      <c r="O91" s="4"/>
    </row>
    <row r="92" spans="1:15" x14ac:dyDescent="0.2">
      <c r="A92" s="15">
        <v>91</v>
      </c>
      <c r="B92" s="3">
        <v>45315</v>
      </c>
      <c r="C92" s="4">
        <v>5.44</v>
      </c>
      <c r="D92" s="16">
        <f t="shared" si="10"/>
        <v>5.4400000000000004E-2</v>
      </c>
      <c r="E92" s="17">
        <f t="shared" si="11"/>
        <v>-1.8348623853210455E-3</v>
      </c>
      <c r="F92" s="18">
        <f t="shared" si="7"/>
        <v>-9.9999999999995925E-5</v>
      </c>
      <c r="G92" s="19">
        <f t="shared" si="8"/>
        <v>1.1800113421531391E-6</v>
      </c>
      <c r="H92" s="20">
        <f t="shared" si="9"/>
        <v>-1.0118001134214907E-4</v>
      </c>
      <c r="I92" s="21">
        <f t="shared" si="12"/>
        <v>1872.4410643751903</v>
      </c>
      <c r="J92" s="22">
        <f t="shared" si="13"/>
        <v>7.5349982405970843</v>
      </c>
      <c r="O92" s="4"/>
    </row>
    <row r="93" spans="1:15" x14ac:dyDescent="0.2">
      <c r="A93" s="15">
        <v>92</v>
      </c>
      <c r="B93" s="3">
        <v>45314</v>
      </c>
      <c r="C93" s="4">
        <v>5.45</v>
      </c>
      <c r="D93" s="16">
        <f t="shared" si="10"/>
        <v>5.45E-2</v>
      </c>
      <c r="E93" s="17">
        <f t="shared" si="11"/>
        <v>-1.831501831501936E-3</v>
      </c>
      <c r="F93" s="18">
        <f t="shared" si="7"/>
        <v>-1.0000000000000286E-4</v>
      </c>
      <c r="G93" s="19">
        <f t="shared" si="8"/>
        <v>1.1394065050645461E-6</v>
      </c>
      <c r="H93" s="20">
        <f t="shared" si="9"/>
        <v>-1.0113940650506741E-4</v>
      </c>
      <c r="I93" s="21">
        <f t="shared" si="12"/>
        <v>1872.6712449188335</v>
      </c>
      <c r="J93" s="22">
        <f t="shared" si="13"/>
        <v>7.5351211637699684</v>
      </c>
      <c r="O93" s="4"/>
    </row>
    <row r="94" spans="1:15" x14ac:dyDescent="0.2">
      <c r="A94" s="15">
        <v>93</v>
      </c>
      <c r="B94" s="3">
        <v>45313</v>
      </c>
      <c r="C94" s="4">
        <v>5.46</v>
      </c>
      <c r="D94" s="16">
        <f t="shared" si="10"/>
        <v>5.4600000000000003E-2</v>
      </c>
      <c r="E94" s="17">
        <f t="shared" si="11"/>
        <v>1.8348623853210455E-3</v>
      </c>
      <c r="F94" s="18">
        <f t="shared" si="7"/>
        <v>1.0000000000000286E-4</v>
      </c>
      <c r="G94" s="19">
        <f t="shared" si="8"/>
        <v>1.1800113421531391E-6</v>
      </c>
      <c r="H94" s="20">
        <f t="shared" si="9"/>
        <v>9.8819988657849724E-5</v>
      </c>
      <c r="I94" s="21">
        <f t="shared" si="12"/>
        <v>1885.7121753081776</v>
      </c>
      <c r="J94" s="22">
        <f t="shared" si="13"/>
        <v>7.5420608403637681</v>
      </c>
      <c r="O94" s="4"/>
    </row>
    <row r="95" spans="1:15" x14ac:dyDescent="0.2">
      <c r="A95" s="15">
        <v>94</v>
      </c>
      <c r="B95" s="3">
        <v>45310</v>
      </c>
      <c r="C95" s="4">
        <v>5.45</v>
      </c>
      <c r="D95" s="16">
        <f t="shared" si="10"/>
        <v>5.45E-2</v>
      </c>
      <c r="E95" s="17">
        <f t="shared" si="11"/>
        <v>0</v>
      </c>
      <c r="F95" s="18">
        <f t="shared" si="7"/>
        <v>0</v>
      </c>
      <c r="G95" s="19">
        <f t="shared" si="8"/>
        <v>1.1800113421531391E-6</v>
      </c>
      <c r="H95" s="20">
        <f t="shared" si="9"/>
        <v>-1.1800113421531391E-6</v>
      </c>
      <c r="I95" s="21">
        <f t="shared" si="12"/>
        <v>2182.354138609342</v>
      </c>
      <c r="J95" s="22">
        <f t="shared" si="13"/>
        <v>7.688159453228077</v>
      </c>
      <c r="O95" s="4"/>
    </row>
    <row r="96" spans="1:15" x14ac:dyDescent="0.2">
      <c r="A96" s="15">
        <v>95</v>
      </c>
      <c r="B96" s="3">
        <v>45309</v>
      </c>
      <c r="C96" s="4">
        <v>5.45</v>
      </c>
      <c r="D96" s="16">
        <f t="shared" si="10"/>
        <v>5.45E-2</v>
      </c>
      <c r="E96" s="17">
        <f t="shared" si="11"/>
        <v>-3.6563071297989191E-3</v>
      </c>
      <c r="F96" s="18">
        <f t="shared" si="7"/>
        <v>-1.9999999999999879E-4</v>
      </c>
      <c r="G96" s="19">
        <f t="shared" si="8"/>
        <v>1.0988016679759558E-6</v>
      </c>
      <c r="H96" s="20">
        <f t="shared" si="9"/>
        <v>-2.0109880166797474E-4</v>
      </c>
      <c r="I96" s="21">
        <f t="shared" si="12"/>
        <v>1191.6164520177786</v>
      </c>
      <c r="J96" s="22">
        <f t="shared" si="13"/>
        <v>7.0830660274052617</v>
      </c>
      <c r="O96" s="4"/>
    </row>
    <row r="97" spans="1:15" x14ac:dyDescent="0.2">
      <c r="A97" s="15">
        <v>96</v>
      </c>
      <c r="B97" s="3">
        <v>45308</v>
      </c>
      <c r="C97" s="4">
        <v>5.47</v>
      </c>
      <c r="D97" s="16">
        <f t="shared" si="10"/>
        <v>5.4699999999999999E-2</v>
      </c>
      <c r="E97" s="17">
        <f t="shared" si="11"/>
        <v>3.669724770642091E-3</v>
      </c>
      <c r="F97" s="18">
        <f t="shared" si="7"/>
        <v>1.9999999999999879E-4</v>
      </c>
      <c r="G97" s="19">
        <f t="shared" si="8"/>
        <v>1.1800113421531391E-6</v>
      </c>
      <c r="H97" s="20">
        <f t="shared" si="9"/>
        <v>1.9881998865784565E-4</v>
      </c>
      <c r="I97" s="21">
        <f t="shared" si="12"/>
        <v>1207.9770766168826</v>
      </c>
      <c r="J97" s="22">
        <f t="shared" si="13"/>
        <v>7.0967024020041798</v>
      </c>
      <c r="O97" s="4"/>
    </row>
    <row r="98" spans="1:15" x14ac:dyDescent="0.2">
      <c r="A98" s="15">
        <v>97</v>
      </c>
      <c r="B98" s="3">
        <v>45307</v>
      </c>
      <c r="C98" s="4">
        <v>5.45</v>
      </c>
      <c r="D98" s="16">
        <f t="shared" si="10"/>
        <v>5.45E-2</v>
      </c>
      <c r="E98" s="17">
        <f t="shared" si="11"/>
        <v>0</v>
      </c>
      <c r="F98" s="18">
        <f t="shared" si="7"/>
        <v>0</v>
      </c>
      <c r="G98" s="19">
        <f t="shared" si="8"/>
        <v>1.1800113421531391E-6</v>
      </c>
      <c r="H98" s="20">
        <f t="shared" si="9"/>
        <v>-1.1800113421531391E-6</v>
      </c>
      <c r="I98" s="21">
        <f t="shared" si="12"/>
        <v>2182.354138609342</v>
      </c>
      <c r="J98" s="22">
        <f t="shared" si="13"/>
        <v>7.688159453228077</v>
      </c>
      <c r="O98" s="4"/>
    </row>
    <row r="99" spans="1:15" x14ac:dyDescent="0.2">
      <c r="A99" s="15">
        <v>98</v>
      </c>
      <c r="B99" s="3">
        <v>45303</v>
      </c>
      <c r="C99" s="4">
        <v>5.45</v>
      </c>
      <c r="D99" s="16">
        <f t="shared" si="10"/>
        <v>5.45E-2</v>
      </c>
      <c r="E99" s="17">
        <f t="shared" si="11"/>
        <v>-1.831501831501936E-3</v>
      </c>
      <c r="F99" s="18">
        <f t="shared" si="7"/>
        <v>-1.0000000000000286E-4</v>
      </c>
      <c r="G99" s="19">
        <f t="shared" si="8"/>
        <v>1.1394065050645461E-6</v>
      </c>
      <c r="H99" s="20">
        <f t="shared" si="9"/>
        <v>-1.0113940650506741E-4</v>
      </c>
      <c r="I99" s="21">
        <f t="shared" si="12"/>
        <v>1872.6712449188335</v>
      </c>
      <c r="J99" s="22">
        <f t="shared" si="13"/>
        <v>7.5351211637699684</v>
      </c>
      <c r="O99" s="4"/>
    </row>
    <row r="100" spans="1:15" x14ac:dyDescent="0.2">
      <c r="A100" s="15">
        <v>99</v>
      </c>
      <c r="B100" s="3">
        <v>45302</v>
      </c>
      <c r="C100" s="4">
        <v>5.46</v>
      </c>
      <c r="D100" s="16">
        <f t="shared" si="10"/>
        <v>5.4600000000000003E-2</v>
      </c>
      <c r="E100" s="17">
        <f t="shared" si="11"/>
        <v>0</v>
      </c>
      <c r="F100" s="18">
        <f t="shared" si="7"/>
        <v>0</v>
      </c>
      <c r="G100" s="19">
        <f t="shared" si="8"/>
        <v>1.1394065050645461E-6</v>
      </c>
      <c r="H100" s="20">
        <f t="shared" si="9"/>
        <v>-1.1394065050645461E-6</v>
      </c>
      <c r="I100" s="21">
        <f t="shared" si="12"/>
        <v>2182.3572140030551</v>
      </c>
      <c r="J100" s="22">
        <f t="shared" si="13"/>
        <v>7.6881608624363675</v>
      </c>
      <c r="O100" s="4"/>
    </row>
    <row r="101" spans="1:15" x14ac:dyDescent="0.2">
      <c r="A101" s="15">
        <v>100</v>
      </c>
      <c r="B101" s="3">
        <v>45301</v>
      </c>
      <c r="C101" s="4">
        <v>5.46</v>
      </c>
      <c r="D101" s="16">
        <f t="shared" si="10"/>
        <v>5.4600000000000003E-2</v>
      </c>
      <c r="E101" s="17">
        <f t="shared" si="11"/>
        <v>-1.8281535648994041E-3</v>
      </c>
      <c r="F101" s="18">
        <f t="shared" si="7"/>
        <v>-9.9999999999995925E-5</v>
      </c>
      <c r="G101" s="19">
        <f t="shared" si="8"/>
        <v>1.0988016679759558E-6</v>
      </c>
      <c r="H101" s="20">
        <f t="shared" si="9"/>
        <v>-1.0109880166797189E-4</v>
      </c>
      <c r="I101" s="21">
        <f t="shared" si="12"/>
        <v>1872.901361348836</v>
      </c>
      <c r="J101" s="22">
        <f t="shared" si="13"/>
        <v>7.5352440376023475</v>
      </c>
      <c r="O101" s="4"/>
    </row>
    <row r="102" spans="1:15" x14ac:dyDescent="0.2">
      <c r="A102" s="15">
        <v>101</v>
      </c>
      <c r="B102" s="3">
        <v>45300</v>
      </c>
      <c r="C102" s="4">
        <v>5.47</v>
      </c>
      <c r="D102" s="16">
        <f t="shared" si="10"/>
        <v>5.4699999999999999E-2</v>
      </c>
      <c r="E102" s="17">
        <f t="shared" si="11"/>
        <v>-3.6429872495447047E-3</v>
      </c>
      <c r="F102" s="18">
        <f t="shared" si="7"/>
        <v>-2.0000000000000573E-4</v>
      </c>
      <c r="G102" s="19">
        <f t="shared" si="8"/>
        <v>1.0175919937987699E-6</v>
      </c>
      <c r="H102" s="20">
        <f t="shared" si="9"/>
        <v>-2.0101759199380449E-4</v>
      </c>
      <c r="I102" s="21">
        <f t="shared" si="12"/>
        <v>1192.1988509482928</v>
      </c>
      <c r="J102" s="22">
        <f t="shared" si="13"/>
        <v>7.0835546549775215</v>
      </c>
      <c r="O102" s="4"/>
    </row>
    <row r="103" spans="1:15" x14ac:dyDescent="0.2">
      <c r="A103" s="15">
        <v>102</v>
      </c>
      <c r="B103" s="3">
        <v>45299</v>
      </c>
      <c r="C103" s="4">
        <v>5.49</v>
      </c>
      <c r="D103" s="16">
        <f t="shared" si="10"/>
        <v>5.4900000000000004E-2</v>
      </c>
      <c r="E103" s="17">
        <f t="shared" si="11"/>
        <v>3.6563071297990302E-3</v>
      </c>
      <c r="F103" s="18">
        <f t="shared" si="7"/>
        <v>2.0000000000000573E-4</v>
      </c>
      <c r="G103" s="19">
        <f t="shared" si="8"/>
        <v>1.0988016679759558E-6</v>
      </c>
      <c r="H103" s="20">
        <f t="shared" si="9"/>
        <v>1.9890119833202978E-4</v>
      </c>
      <c r="I103" s="21">
        <f t="shared" si="12"/>
        <v>1207.3934183107688</v>
      </c>
      <c r="J103" s="22">
        <f t="shared" si="13"/>
        <v>7.096219115221718</v>
      </c>
      <c r="O103" s="4"/>
    </row>
    <row r="104" spans="1:15" x14ac:dyDescent="0.2">
      <c r="A104" s="15">
        <v>103</v>
      </c>
      <c r="B104" s="3">
        <v>45296</v>
      </c>
      <c r="C104" s="4">
        <v>5.47</v>
      </c>
      <c r="D104" s="16">
        <f t="shared" si="10"/>
        <v>5.4699999999999999E-2</v>
      </c>
      <c r="E104" s="17">
        <f t="shared" si="11"/>
        <v>-1.8248175182482562E-3</v>
      </c>
      <c r="F104" s="18">
        <f t="shared" si="7"/>
        <v>-1.0000000000000286E-4</v>
      </c>
      <c r="G104" s="19">
        <f t="shared" si="8"/>
        <v>1.0581968308873628E-6</v>
      </c>
      <c r="H104" s="20">
        <f t="shared" si="9"/>
        <v>-1.0105819683089023E-4</v>
      </c>
      <c r="I104" s="21">
        <f t="shared" si="12"/>
        <v>1873.1314136344533</v>
      </c>
      <c r="J104" s="22">
        <f t="shared" si="13"/>
        <v>7.5353668620941363</v>
      </c>
      <c r="O104" s="4"/>
    </row>
    <row r="105" spans="1:15" x14ac:dyDescent="0.2">
      <c r="A105" s="15">
        <v>104</v>
      </c>
      <c r="B105" s="3">
        <v>45295</v>
      </c>
      <c r="C105" s="4">
        <v>5.48</v>
      </c>
      <c r="D105" s="16">
        <f t="shared" si="10"/>
        <v>5.4800000000000001E-2</v>
      </c>
      <c r="E105" s="17">
        <f t="shared" si="11"/>
        <v>0</v>
      </c>
      <c r="F105" s="18">
        <f t="shared" si="7"/>
        <v>0</v>
      </c>
      <c r="G105" s="19">
        <f t="shared" si="8"/>
        <v>1.0581968308873628E-6</v>
      </c>
      <c r="H105" s="20">
        <f t="shared" si="9"/>
        <v>-1.0581968308873628E-6</v>
      </c>
      <c r="I105" s="21">
        <f t="shared" si="12"/>
        <v>2182.3630417664981</v>
      </c>
      <c r="J105" s="22">
        <f t="shared" si="13"/>
        <v>7.6881635328313083</v>
      </c>
      <c r="O105" s="4"/>
    </row>
    <row r="106" spans="1:15" x14ac:dyDescent="0.2">
      <c r="A106" s="15">
        <v>105</v>
      </c>
      <c r="B106" s="3">
        <v>45294</v>
      </c>
      <c r="C106" s="4">
        <v>5.48</v>
      </c>
      <c r="D106" s="16">
        <f t="shared" si="10"/>
        <v>5.4800000000000001E-2</v>
      </c>
      <c r="E106" s="17">
        <f t="shared" si="11"/>
        <v>3.66300366300365E-3</v>
      </c>
      <c r="F106" s="18">
        <f t="shared" si="7"/>
        <v>1.9999999999999879E-4</v>
      </c>
      <c r="G106" s="19">
        <f t="shared" si="8"/>
        <v>1.1394065050645461E-6</v>
      </c>
      <c r="H106" s="20">
        <f t="shared" si="9"/>
        <v>1.9886059349493425E-4</v>
      </c>
      <c r="I106" s="21">
        <f t="shared" si="12"/>
        <v>1207.685241998483</v>
      </c>
      <c r="J106" s="22">
        <f t="shared" si="13"/>
        <v>7.0964607832832431</v>
      </c>
      <c r="O106" s="4"/>
    </row>
    <row r="107" spans="1:15" x14ac:dyDescent="0.2">
      <c r="A107" s="15">
        <v>106</v>
      </c>
      <c r="B107" s="3">
        <v>45293</v>
      </c>
      <c r="C107" s="4">
        <v>5.46</v>
      </c>
      <c r="D107" s="16">
        <f t="shared" si="10"/>
        <v>5.4600000000000003E-2</v>
      </c>
      <c r="E107" s="17">
        <f t="shared" si="11"/>
        <v>1.1111111111111072E-2</v>
      </c>
      <c r="F107" s="18">
        <f t="shared" si="7"/>
        <v>5.9999999999999637E-4</v>
      </c>
      <c r="G107" s="19">
        <f t="shared" si="8"/>
        <v>1.3830355275960954E-6</v>
      </c>
      <c r="H107" s="20">
        <f t="shared" si="9"/>
        <v>5.9861696447240022E-4</v>
      </c>
      <c r="I107" s="21">
        <f t="shared" si="12"/>
        <v>10.240065605741544</v>
      </c>
      <c r="J107" s="22">
        <f t="shared" si="13"/>
        <v>2.3263080264015357</v>
      </c>
      <c r="O107" s="4"/>
    </row>
    <row r="108" spans="1:15" x14ac:dyDescent="0.2">
      <c r="A108" s="15">
        <v>107</v>
      </c>
      <c r="B108" s="3">
        <v>45289</v>
      </c>
      <c r="C108" s="4">
        <v>5.4</v>
      </c>
      <c r="D108" s="16">
        <f t="shared" si="10"/>
        <v>5.4000000000000006E-2</v>
      </c>
      <c r="E108" s="17">
        <f t="shared" si="11"/>
        <v>-9.1743119266053386E-3</v>
      </c>
      <c r="F108" s="18">
        <f t="shared" si="7"/>
        <v>-4.9999999999999351E-4</v>
      </c>
      <c r="G108" s="19">
        <f t="shared" si="8"/>
        <v>1.1800113421531391E-6</v>
      </c>
      <c r="H108" s="20">
        <f t="shared" si="9"/>
        <v>-5.0118001134214667E-4</v>
      </c>
      <c r="I108" s="21">
        <f t="shared" si="12"/>
        <v>50.894513864265249</v>
      </c>
      <c r="J108" s="22">
        <f t="shared" si="13"/>
        <v>3.9297551351201103</v>
      </c>
      <c r="O108" s="4"/>
    </row>
    <row r="109" spans="1:15" x14ac:dyDescent="0.2">
      <c r="A109" s="15">
        <v>108</v>
      </c>
      <c r="B109" s="3">
        <v>45288</v>
      </c>
      <c r="C109" s="4">
        <v>5.45</v>
      </c>
      <c r="D109" s="16">
        <f t="shared" si="10"/>
        <v>5.45E-2</v>
      </c>
      <c r="E109" s="17">
        <f t="shared" si="11"/>
        <v>1.8382352941175295E-3</v>
      </c>
      <c r="F109" s="18">
        <f t="shared" si="7"/>
        <v>9.9999999999995925E-5</v>
      </c>
      <c r="G109" s="19">
        <f t="shared" si="8"/>
        <v>1.2206161792417292E-6</v>
      </c>
      <c r="H109" s="20">
        <f t="shared" si="9"/>
        <v>9.8779383820754202E-5</v>
      </c>
      <c r="I109" s="21">
        <f t="shared" si="12"/>
        <v>1885.9385788576703</v>
      </c>
      <c r="J109" s="22">
        <f t="shared" si="13"/>
        <v>7.5421808957795644</v>
      </c>
      <c r="O109" s="4"/>
    </row>
    <row r="110" spans="1:15" x14ac:dyDescent="0.2">
      <c r="A110" s="15">
        <v>109</v>
      </c>
      <c r="B110" s="3">
        <v>45287</v>
      </c>
      <c r="C110" s="4">
        <v>5.44</v>
      </c>
      <c r="D110" s="16">
        <f t="shared" si="10"/>
        <v>5.4400000000000004E-2</v>
      </c>
      <c r="E110" s="17">
        <f t="shared" si="11"/>
        <v>-1.8348623853210455E-3</v>
      </c>
      <c r="F110" s="18">
        <f t="shared" si="7"/>
        <v>-9.9999999999995925E-5</v>
      </c>
      <c r="G110" s="19">
        <f t="shared" si="8"/>
        <v>1.1800113421531391E-6</v>
      </c>
      <c r="H110" s="20">
        <f t="shared" si="9"/>
        <v>-1.0118001134214907E-4</v>
      </c>
      <c r="I110" s="21">
        <f t="shared" si="12"/>
        <v>1872.4410643751903</v>
      </c>
      <c r="J110" s="22">
        <f t="shared" si="13"/>
        <v>7.5349982405970843</v>
      </c>
      <c r="O110" s="4"/>
    </row>
    <row r="111" spans="1:15" x14ac:dyDescent="0.2">
      <c r="A111" s="15">
        <v>110</v>
      </c>
      <c r="B111" s="3">
        <v>45286</v>
      </c>
      <c r="C111" s="4">
        <v>5.45</v>
      </c>
      <c r="D111" s="16">
        <f t="shared" si="10"/>
        <v>5.45E-2</v>
      </c>
      <c r="E111" s="17">
        <f t="shared" si="11"/>
        <v>1.8382352941175295E-3</v>
      </c>
      <c r="F111" s="18">
        <f t="shared" si="7"/>
        <v>9.9999999999995925E-5</v>
      </c>
      <c r="G111" s="19">
        <f t="shared" si="8"/>
        <v>1.2206161792417292E-6</v>
      </c>
      <c r="H111" s="20">
        <f t="shared" si="9"/>
        <v>9.8779383820754202E-5</v>
      </c>
      <c r="I111" s="21">
        <f t="shared" si="12"/>
        <v>1885.9385788576703</v>
      </c>
      <c r="J111" s="22">
        <f t="shared" si="13"/>
        <v>7.5421808957795644</v>
      </c>
      <c r="O111" s="4"/>
    </row>
    <row r="112" spans="1:15" x14ac:dyDescent="0.2">
      <c r="A112" s="15">
        <v>111</v>
      </c>
      <c r="B112" s="3">
        <v>45282</v>
      </c>
      <c r="C112" s="4">
        <v>5.44</v>
      </c>
      <c r="D112" s="16">
        <f t="shared" si="10"/>
        <v>5.4400000000000004E-2</v>
      </c>
      <c r="E112" s="17">
        <f t="shared" si="11"/>
        <v>3.6900369003691758E-3</v>
      </c>
      <c r="F112" s="18">
        <f t="shared" si="7"/>
        <v>2.0000000000000573E-4</v>
      </c>
      <c r="G112" s="19">
        <f t="shared" si="8"/>
        <v>1.3018258534189152E-6</v>
      </c>
      <c r="H112" s="20">
        <f t="shared" si="9"/>
        <v>1.986981741465868E-4</v>
      </c>
      <c r="I112" s="21">
        <f t="shared" si="12"/>
        <v>1208.8526457948005</v>
      </c>
      <c r="J112" s="22">
        <f t="shared" si="13"/>
        <v>7.0974269621236656</v>
      </c>
      <c r="O112" s="4"/>
    </row>
    <row r="113" spans="1:15" x14ac:dyDescent="0.2">
      <c r="A113" s="15">
        <v>112</v>
      </c>
      <c r="B113" s="3">
        <v>45281</v>
      </c>
      <c r="C113" s="4">
        <v>5.42</v>
      </c>
      <c r="D113" s="16">
        <f t="shared" si="10"/>
        <v>5.4199999999999998E-2</v>
      </c>
      <c r="E113" s="17">
        <f t="shared" si="11"/>
        <v>-3.6764705882353921E-3</v>
      </c>
      <c r="F113" s="18">
        <f t="shared" si="7"/>
        <v>-2.0000000000000573E-4</v>
      </c>
      <c r="G113" s="19">
        <f t="shared" si="8"/>
        <v>1.2206161792417292E-6</v>
      </c>
      <c r="H113" s="20">
        <f t="shared" si="9"/>
        <v>-2.0122061617924747E-4</v>
      </c>
      <c r="I113" s="21">
        <f t="shared" si="12"/>
        <v>1190.7429463890403</v>
      </c>
      <c r="J113" s="22">
        <f t="shared" si="13"/>
        <v>7.0823327159926626</v>
      </c>
      <c r="O113" s="4"/>
    </row>
    <row r="114" spans="1:15" x14ac:dyDescent="0.2">
      <c r="A114" s="15">
        <v>113</v>
      </c>
      <c r="B114" s="3">
        <v>45280</v>
      </c>
      <c r="C114" s="4">
        <v>5.44</v>
      </c>
      <c r="D114" s="16">
        <f t="shared" si="10"/>
        <v>5.4400000000000004E-2</v>
      </c>
      <c r="E114" s="17">
        <f t="shared" si="11"/>
        <v>1.8416206261511192E-3</v>
      </c>
      <c r="F114" s="18">
        <f t="shared" si="7"/>
        <v>1.000000000000098E-4</v>
      </c>
      <c r="G114" s="19">
        <f t="shared" si="8"/>
        <v>1.2612210163303249E-6</v>
      </c>
      <c r="H114" s="20">
        <f t="shared" si="9"/>
        <v>9.8738778983679484E-5</v>
      </c>
      <c r="I114" s="21">
        <f t="shared" si="12"/>
        <v>1886.1649165252388</v>
      </c>
      <c r="J114" s="22">
        <f t="shared" si="13"/>
        <v>7.5423009018547518</v>
      </c>
      <c r="O114" s="4"/>
    </row>
    <row r="115" spans="1:15" x14ac:dyDescent="0.2">
      <c r="A115" s="15">
        <v>114</v>
      </c>
      <c r="B115" s="3">
        <v>45279</v>
      </c>
      <c r="C115" s="4">
        <v>5.43</v>
      </c>
      <c r="D115" s="16">
        <f t="shared" si="10"/>
        <v>5.4299999999999994E-2</v>
      </c>
      <c r="E115" s="17">
        <f t="shared" si="11"/>
        <v>-5.494505494505697E-3</v>
      </c>
      <c r="F115" s="18">
        <f t="shared" si="7"/>
        <v>-3.0000000000000859E-4</v>
      </c>
      <c r="G115" s="19">
        <f t="shared" si="8"/>
        <v>1.1394065050645461E-6</v>
      </c>
      <c r="H115" s="20">
        <f t="shared" si="9"/>
        <v>-3.0113940650507316E-4</v>
      </c>
      <c r="I115" s="21">
        <f t="shared" si="12"/>
        <v>561.86538343733548</v>
      </c>
      <c r="J115" s="22">
        <f t="shared" si="13"/>
        <v>6.3312622899512068</v>
      </c>
      <c r="O115" s="4"/>
    </row>
    <row r="116" spans="1:15" x14ac:dyDescent="0.2">
      <c r="A116" s="15">
        <v>115</v>
      </c>
      <c r="B116" s="3">
        <v>45278</v>
      </c>
      <c r="C116" s="4">
        <v>5.46</v>
      </c>
      <c r="D116" s="16">
        <f t="shared" si="10"/>
        <v>5.4600000000000003E-2</v>
      </c>
      <c r="E116" s="17">
        <f t="shared" si="11"/>
        <v>3.6764705882352811E-3</v>
      </c>
      <c r="F116" s="18">
        <f t="shared" si="7"/>
        <v>1.9999999999999879E-4</v>
      </c>
      <c r="G116" s="19">
        <f t="shared" si="8"/>
        <v>1.2206161792417292E-6</v>
      </c>
      <c r="H116" s="20">
        <f t="shared" si="9"/>
        <v>1.9877938382075705E-4</v>
      </c>
      <c r="I116" s="21">
        <f t="shared" si="12"/>
        <v>1208.2689221398578</v>
      </c>
      <c r="J116" s="22">
        <f t="shared" si="13"/>
        <v>7.0969439713845697</v>
      </c>
      <c r="O116" s="4"/>
    </row>
    <row r="117" spans="1:15" x14ac:dyDescent="0.2">
      <c r="A117" s="15">
        <v>116</v>
      </c>
      <c r="B117" s="3">
        <v>45275</v>
      </c>
      <c r="C117" s="4">
        <v>5.44</v>
      </c>
      <c r="D117" s="16">
        <f t="shared" si="10"/>
        <v>5.4400000000000004E-2</v>
      </c>
      <c r="E117" s="17">
        <f t="shared" si="11"/>
        <v>1.8416206261511192E-3</v>
      </c>
      <c r="F117" s="18">
        <f t="shared" si="7"/>
        <v>1.000000000000098E-4</v>
      </c>
      <c r="G117" s="19">
        <f t="shared" si="8"/>
        <v>1.2612210163303249E-6</v>
      </c>
      <c r="H117" s="20">
        <f t="shared" si="9"/>
        <v>9.8738778983679484E-5</v>
      </c>
      <c r="I117" s="21">
        <f t="shared" si="12"/>
        <v>1886.1649165252388</v>
      </c>
      <c r="J117" s="22">
        <f t="shared" si="13"/>
        <v>7.5423009018547518</v>
      </c>
      <c r="O117" s="4"/>
    </row>
    <row r="118" spans="1:15" x14ac:dyDescent="0.2">
      <c r="A118" s="15">
        <v>117</v>
      </c>
      <c r="B118" s="3">
        <v>45274</v>
      </c>
      <c r="C118" s="4">
        <v>5.43</v>
      </c>
      <c r="D118" s="16">
        <f t="shared" si="10"/>
        <v>5.4299999999999994E-2</v>
      </c>
      <c r="E118" s="17">
        <f t="shared" si="11"/>
        <v>-1.8382352941178626E-3</v>
      </c>
      <c r="F118" s="18">
        <f t="shared" si="7"/>
        <v>-1.000000000000098E-4</v>
      </c>
      <c r="G118" s="19">
        <f t="shared" si="8"/>
        <v>1.2206161792417292E-6</v>
      </c>
      <c r="H118" s="20">
        <f t="shared" si="9"/>
        <v>-1.0122061617925153E-4</v>
      </c>
      <c r="I118" s="21">
        <f t="shared" si="12"/>
        <v>1872.2108197483046</v>
      </c>
      <c r="J118" s="22">
        <f t="shared" si="13"/>
        <v>7.5348752680835904</v>
      </c>
      <c r="O118" s="4"/>
    </row>
    <row r="119" spans="1:15" x14ac:dyDescent="0.2">
      <c r="A119" s="15">
        <v>118</v>
      </c>
      <c r="B119" s="3">
        <v>45273</v>
      </c>
      <c r="C119" s="4">
        <v>5.44</v>
      </c>
      <c r="D119" s="16">
        <f t="shared" si="10"/>
        <v>5.4400000000000004E-2</v>
      </c>
      <c r="E119" s="17">
        <f t="shared" si="11"/>
        <v>-3.66300366300365E-3</v>
      </c>
      <c r="F119" s="18">
        <f t="shared" si="7"/>
        <v>-1.9999999999999879E-4</v>
      </c>
      <c r="G119" s="19">
        <f t="shared" si="8"/>
        <v>1.1394065050645461E-6</v>
      </c>
      <c r="H119" s="20">
        <f t="shared" si="9"/>
        <v>-2.0113940650506333E-4</v>
      </c>
      <c r="I119" s="21">
        <f t="shared" si="12"/>
        <v>1191.3252710802183</v>
      </c>
      <c r="J119" s="22">
        <f t="shared" si="13"/>
        <v>7.0828216396082908</v>
      </c>
      <c r="O119" s="4"/>
    </row>
    <row r="120" spans="1:15" x14ac:dyDescent="0.2">
      <c r="A120" s="15">
        <v>119</v>
      </c>
      <c r="B120" s="3">
        <v>45272</v>
      </c>
      <c r="C120" s="4">
        <v>5.46</v>
      </c>
      <c r="D120" s="16">
        <f t="shared" si="10"/>
        <v>5.4600000000000003E-2</v>
      </c>
      <c r="E120" s="17">
        <f t="shared" si="11"/>
        <v>-1.8281535648994041E-3</v>
      </c>
      <c r="F120" s="18">
        <f t="shared" si="7"/>
        <v>-9.9999999999995925E-5</v>
      </c>
      <c r="G120" s="19">
        <f t="shared" si="8"/>
        <v>1.0988016679759558E-6</v>
      </c>
      <c r="H120" s="20">
        <f t="shared" si="9"/>
        <v>-1.0109880166797189E-4</v>
      </c>
      <c r="I120" s="21">
        <f t="shared" si="12"/>
        <v>1872.901361348836</v>
      </c>
      <c r="J120" s="22">
        <f t="shared" si="13"/>
        <v>7.5352440376023475</v>
      </c>
      <c r="O120" s="4"/>
    </row>
    <row r="121" spans="1:15" x14ac:dyDescent="0.2">
      <c r="A121" s="15">
        <v>120</v>
      </c>
      <c r="B121" s="3">
        <v>45271</v>
      </c>
      <c r="C121" s="4">
        <v>5.47</v>
      </c>
      <c r="D121" s="16">
        <f t="shared" si="10"/>
        <v>5.4699999999999999E-2</v>
      </c>
      <c r="E121" s="17">
        <f t="shared" si="11"/>
        <v>5.5147058823528106E-3</v>
      </c>
      <c r="F121" s="18">
        <f t="shared" si="7"/>
        <v>2.9999999999999472E-4</v>
      </c>
      <c r="G121" s="19">
        <f t="shared" si="8"/>
        <v>1.2206161792417292E-6</v>
      </c>
      <c r="H121" s="20">
        <f t="shared" si="9"/>
        <v>2.9877938382075301E-4</v>
      </c>
      <c r="I121" s="21">
        <f t="shared" si="12"/>
        <v>573.89544117458797</v>
      </c>
      <c r="J121" s="22">
        <f t="shared" si="13"/>
        <v>6.3524472214943151</v>
      </c>
      <c r="O121" s="4"/>
    </row>
    <row r="122" spans="1:15" x14ac:dyDescent="0.2">
      <c r="A122" s="15">
        <v>121</v>
      </c>
      <c r="B122" s="3">
        <v>45268</v>
      </c>
      <c r="C122" s="4">
        <v>5.44</v>
      </c>
      <c r="D122" s="16">
        <f t="shared" si="10"/>
        <v>5.4400000000000004E-2</v>
      </c>
      <c r="E122" s="17">
        <f t="shared" si="11"/>
        <v>0</v>
      </c>
      <c r="F122" s="18">
        <f t="shared" si="7"/>
        <v>0</v>
      </c>
      <c r="G122" s="19">
        <f t="shared" si="8"/>
        <v>1.2206161792417292E-6</v>
      </c>
      <c r="H122" s="20">
        <f t="shared" si="9"/>
        <v>-1.2206161792417292E-6</v>
      </c>
      <c r="I122" s="21">
        <f t="shared" si="12"/>
        <v>2182.3509555415694</v>
      </c>
      <c r="J122" s="22">
        <f t="shared" si="13"/>
        <v>7.688157994679238</v>
      </c>
      <c r="O122" s="4"/>
    </row>
    <row r="123" spans="1:15" x14ac:dyDescent="0.2">
      <c r="A123" s="15">
        <v>122</v>
      </c>
      <c r="B123" s="3">
        <v>45267</v>
      </c>
      <c r="C123" s="4">
        <v>5.44</v>
      </c>
      <c r="D123" s="16">
        <f t="shared" si="10"/>
        <v>5.4400000000000004E-2</v>
      </c>
      <c r="E123" s="17">
        <f t="shared" si="11"/>
        <v>-1.8348623853210455E-3</v>
      </c>
      <c r="F123" s="18">
        <f t="shared" si="7"/>
        <v>-9.9999999999995925E-5</v>
      </c>
      <c r="G123" s="19">
        <f t="shared" si="8"/>
        <v>1.1800113421531391E-6</v>
      </c>
      <c r="H123" s="20">
        <f t="shared" si="9"/>
        <v>-1.0118001134214907E-4</v>
      </c>
      <c r="I123" s="21">
        <f t="shared" si="12"/>
        <v>1872.4410643751903</v>
      </c>
      <c r="J123" s="22">
        <f t="shared" si="13"/>
        <v>7.5349982405970843</v>
      </c>
      <c r="O123" s="4"/>
    </row>
    <row r="124" spans="1:15" x14ac:dyDescent="0.2">
      <c r="A124" s="15">
        <v>123</v>
      </c>
      <c r="B124" s="3">
        <v>45266</v>
      </c>
      <c r="C124" s="4">
        <v>5.45</v>
      </c>
      <c r="D124" s="16">
        <f t="shared" si="10"/>
        <v>5.45E-2</v>
      </c>
      <c r="E124" s="17">
        <f t="shared" si="11"/>
        <v>0</v>
      </c>
      <c r="F124" s="18">
        <f t="shared" si="7"/>
        <v>0</v>
      </c>
      <c r="G124" s="19">
        <f t="shared" si="8"/>
        <v>1.1800113421531391E-6</v>
      </c>
      <c r="H124" s="20">
        <f t="shared" si="9"/>
        <v>-1.1800113421531391E-6</v>
      </c>
      <c r="I124" s="21">
        <f t="shared" si="12"/>
        <v>2182.354138609342</v>
      </c>
      <c r="J124" s="22">
        <f t="shared" si="13"/>
        <v>7.688159453228077</v>
      </c>
      <c r="O124" s="4"/>
    </row>
    <row r="125" spans="1:15" x14ac:dyDescent="0.2">
      <c r="A125" s="15">
        <v>124</v>
      </c>
      <c r="B125" s="3">
        <v>45265</v>
      </c>
      <c r="C125" s="4">
        <v>5.45</v>
      </c>
      <c r="D125" s="16">
        <f t="shared" si="10"/>
        <v>5.45E-2</v>
      </c>
      <c r="E125" s="17">
        <f t="shared" si="11"/>
        <v>-1.831501831501936E-3</v>
      </c>
      <c r="F125" s="18">
        <f t="shared" si="7"/>
        <v>-1.0000000000000286E-4</v>
      </c>
      <c r="G125" s="19">
        <f t="shared" si="8"/>
        <v>1.1394065050645461E-6</v>
      </c>
      <c r="H125" s="20">
        <f t="shared" si="9"/>
        <v>-1.0113940650506741E-4</v>
      </c>
      <c r="I125" s="21">
        <f t="shared" si="12"/>
        <v>1872.6712449188335</v>
      </c>
      <c r="J125" s="22">
        <f t="shared" si="13"/>
        <v>7.5351211637699684</v>
      </c>
      <c r="O125" s="4"/>
    </row>
    <row r="126" spans="1:15" x14ac:dyDescent="0.2">
      <c r="A126" s="15">
        <v>125</v>
      </c>
      <c r="B126" s="3">
        <v>45264</v>
      </c>
      <c r="C126" s="4">
        <v>5.46</v>
      </c>
      <c r="D126" s="16">
        <f t="shared" si="10"/>
        <v>5.4600000000000003E-2</v>
      </c>
      <c r="E126" s="17">
        <f t="shared" si="11"/>
        <v>5.5248618784531356E-3</v>
      </c>
      <c r="F126" s="18">
        <f t="shared" si="7"/>
        <v>3.0000000000000859E-4</v>
      </c>
      <c r="G126" s="19">
        <f t="shared" si="8"/>
        <v>1.2612210163303249E-6</v>
      </c>
      <c r="H126" s="20">
        <f t="shared" si="9"/>
        <v>2.9873877898367829E-4</v>
      </c>
      <c r="I126" s="21">
        <f t="shared" si="12"/>
        <v>574.10382255714092</v>
      </c>
      <c r="J126" s="22">
        <f t="shared" si="13"/>
        <v>6.3528102554986479</v>
      </c>
      <c r="O126" s="4"/>
    </row>
    <row r="127" spans="1:15" x14ac:dyDescent="0.2">
      <c r="A127" s="15">
        <v>126</v>
      </c>
      <c r="B127" s="3">
        <v>45261</v>
      </c>
      <c r="C127" s="4">
        <v>5.43</v>
      </c>
      <c r="D127" s="16">
        <f t="shared" si="10"/>
        <v>5.4299999999999994E-2</v>
      </c>
      <c r="E127" s="17">
        <f t="shared" si="11"/>
        <v>-3.6697247706423131E-3</v>
      </c>
      <c r="F127" s="18">
        <f t="shared" si="7"/>
        <v>-2.0000000000000573E-4</v>
      </c>
      <c r="G127" s="19">
        <f t="shared" si="8"/>
        <v>1.1800113421531391E-6</v>
      </c>
      <c r="H127" s="20">
        <f t="shared" si="9"/>
        <v>-2.0118001134215887E-4</v>
      </c>
      <c r="I127" s="21">
        <f t="shared" si="12"/>
        <v>1191.0341025287048</v>
      </c>
      <c r="J127" s="22">
        <f t="shared" si="13"/>
        <v>7.0825772024707296</v>
      </c>
      <c r="O127" s="4"/>
    </row>
    <row r="128" spans="1:15" x14ac:dyDescent="0.2">
      <c r="A128" s="15">
        <v>127</v>
      </c>
      <c r="B128" s="3">
        <v>45260</v>
      </c>
      <c r="C128" s="4">
        <v>5.45</v>
      </c>
      <c r="D128" s="16">
        <f t="shared" si="10"/>
        <v>5.45E-2</v>
      </c>
      <c r="E128" s="17">
        <f t="shared" si="11"/>
        <v>0</v>
      </c>
      <c r="F128" s="18">
        <f t="shared" si="7"/>
        <v>0</v>
      </c>
      <c r="G128" s="19">
        <f t="shared" si="8"/>
        <v>1.1800113421531391E-6</v>
      </c>
      <c r="H128" s="20">
        <f t="shared" si="9"/>
        <v>-1.1800113421531391E-6</v>
      </c>
      <c r="I128" s="21">
        <f t="shared" si="12"/>
        <v>2182.354138609342</v>
      </c>
      <c r="J128" s="22">
        <f t="shared" si="13"/>
        <v>7.688159453228077</v>
      </c>
      <c r="O128" s="4"/>
    </row>
    <row r="129" spans="1:15" x14ac:dyDescent="0.2">
      <c r="A129" s="15">
        <v>128</v>
      </c>
      <c r="B129" s="3">
        <v>45259</v>
      </c>
      <c r="C129" s="4">
        <v>5.45</v>
      </c>
      <c r="D129" s="16">
        <f t="shared" si="10"/>
        <v>5.45E-2</v>
      </c>
      <c r="E129" s="17">
        <f t="shared" si="11"/>
        <v>-3.6563071297989191E-3</v>
      </c>
      <c r="F129" s="18">
        <f t="shared" si="7"/>
        <v>-1.9999999999999879E-4</v>
      </c>
      <c r="G129" s="19">
        <f t="shared" si="8"/>
        <v>1.0988016679759558E-6</v>
      </c>
      <c r="H129" s="20">
        <f t="shared" si="9"/>
        <v>-2.0109880166797474E-4</v>
      </c>
      <c r="I129" s="21">
        <f t="shared" si="12"/>
        <v>1191.6164520177786</v>
      </c>
      <c r="J129" s="22">
        <f t="shared" si="13"/>
        <v>7.0830660274052617</v>
      </c>
      <c r="O129" s="4"/>
    </row>
    <row r="130" spans="1:15" x14ac:dyDescent="0.2">
      <c r="A130" s="15">
        <v>129</v>
      </c>
      <c r="B130" s="3">
        <v>45258</v>
      </c>
      <c r="C130" s="4">
        <v>5.47</v>
      </c>
      <c r="D130" s="16">
        <f t="shared" si="10"/>
        <v>5.4699999999999999E-2</v>
      </c>
      <c r="E130" s="17">
        <f t="shared" si="11"/>
        <v>-3.6429872495447047E-3</v>
      </c>
      <c r="F130" s="18">
        <f t="shared" ref="F130:F193" si="14">D130-D131</f>
        <v>-2.0000000000000573E-4</v>
      </c>
      <c r="G130" s="19">
        <f t="shared" ref="G130:G193" si="15">$O$2*($O$3-D131)*$O$7</f>
        <v>1.0175919937987699E-6</v>
      </c>
      <c r="H130" s="20">
        <f t="shared" ref="H130:H193" si="16">F130-G130</f>
        <v>-2.0101759199380449E-4</v>
      </c>
      <c r="I130" s="21">
        <f t="shared" si="12"/>
        <v>1192.1988509482928</v>
      </c>
      <c r="J130" s="22">
        <f t="shared" si="13"/>
        <v>7.0835546549775215</v>
      </c>
      <c r="O130" s="4"/>
    </row>
    <row r="131" spans="1:15" x14ac:dyDescent="0.2">
      <c r="A131" s="15">
        <v>130</v>
      </c>
      <c r="B131" s="3">
        <v>45257</v>
      </c>
      <c r="C131" s="4">
        <v>5.49</v>
      </c>
      <c r="D131" s="16">
        <f t="shared" ref="D131:D194" si="17">C131/100</f>
        <v>5.4900000000000004E-2</v>
      </c>
      <c r="E131" s="17">
        <f t="shared" ref="E131:E194" si="18">(D131/D132-1)</f>
        <v>-9.0252707581226499E-3</v>
      </c>
      <c r="F131" s="18">
        <f t="shared" si="14"/>
        <v>-4.9999999999999351E-4</v>
      </c>
      <c r="G131" s="19">
        <f t="shared" si="15"/>
        <v>8.1456780835581335E-7</v>
      </c>
      <c r="H131" s="20">
        <f t="shared" si="16"/>
        <v>-5.0081456780834931E-4</v>
      </c>
      <c r="I131" s="21">
        <f t="shared" ref="I131:I194" si="19">NORMDIST(H131,0,$O$4,FALSE)</f>
        <v>51.174132007475713</v>
      </c>
      <c r="J131" s="22">
        <f t="shared" ref="J131:J194" si="20">LN(I131)</f>
        <v>3.9352341701426536</v>
      </c>
      <c r="O131" s="4"/>
    </row>
    <row r="132" spans="1:15" x14ac:dyDescent="0.2">
      <c r="A132" s="15">
        <v>131</v>
      </c>
      <c r="B132" s="3">
        <v>45254</v>
      </c>
      <c r="C132" s="4">
        <v>5.54</v>
      </c>
      <c r="D132" s="16">
        <f t="shared" si="17"/>
        <v>5.5399999999999998E-2</v>
      </c>
      <c r="E132" s="17">
        <f t="shared" si="18"/>
        <v>0</v>
      </c>
      <c r="F132" s="18">
        <f t="shared" si="14"/>
        <v>0</v>
      </c>
      <c r="G132" s="19">
        <f t="shared" si="15"/>
        <v>8.1456780835581335E-7</v>
      </c>
      <c r="H132" s="20">
        <f t="shared" si="16"/>
        <v>-8.1456780835581335E-7</v>
      </c>
      <c r="I132" s="21">
        <f t="shared" si="19"/>
        <v>2182.3779408353389</v>
      </c>
      <c r="J132" s="22">
        <f t="shared" si="20"/>
        <v>7.6881703598429914</v>
      </c>
      <c r="O132" s="4"/>
    </row>
    <row r="133" spans="1:15" x14ac:dyDescent="0.2">
      <c r="A133" s="15">
        <v>132</v>
      </c>
      <c r="B133" s="3">
        <v>45252</v>
      </c>
      <c r="C133" s="4">
        <v>5.54</v>
      </c>
      <c r="D133" s="16">
        <f t="shared" si="17"/>
        <v>5.5399999999999998E-2</v>
      </c>
      <c r="E133" s="17">
        <f t="shared" si="18"/>
        <v>1.8083182640142859E-3</v>
      </c>
      <c r="F133" s="18">
        <f t="shared" si="14"/>
        <v>9.9999999999995925E-5</v>
      </c>
      <c r="G133" s="19">
        <f t="shared" si="15"/>
        <v>8.5517264544440353E-7</v>
      </c>
      <c r="H133" s="20">
        <f t="shared" si="16"/>
        <v>9.9144827354551526E-5</v>
      </c>
      <c r="I133" s="21">
        <f t="shared" si="19"/>
        <v>1883.8985787987169</v>
      </c>
      <c r="J133" s="22">
        <f t="shared" si="20"/>
        <v>7.5410986207778796</v>
      </c>
      <c r="O133" s="4"/>
    </row>
    <row r="134" spans="1:15" x14ac:dyDescent="0.2">
      <c r="A134" s="15">
        <v>133</v>
      </c>
      <c r="B134" s="3">
        <v>45251</v>
      </c>
      <c r="C134" s="4">
        <v>5.53</v>
      </c>
      <c r="D134" s="16">
        <f t="shared" si="17"/>
        <v>5.5300000000000002E-2</v>
      </c>
      <c r="E134" s="17">
        <f t="shared" si="18"/>
        <v>-1.8050541516244634E-3</v>
      </c>
      <c r="F134" s="18">
        <f t="shared" si="14"/>
        <v>-9.9999999999995925E-5</v>
      </c>
      <c r="G134" s="19">
        <f t="shared" si="15"/>
        <v>8.1456780835581335E-7</v>
      </c>
      <c r="H134" s="20">
        <f t="shared" si="16"/>
        <v>-1.0081456780835174E-4</v>
      </c>
      <c r="I134" s="21">
        <f t="shared" si="19"/>
        <v>1874.5103786057937</v>
      </c>
      <c r="J134" s="22">
        <f t="shared" si="20"/>
        <v>7.5361027728935248</v>
      </c>
      <c r="O134" s="4"/>
    </row>
    <row r="135" spans="1:15" x14ac:dyDescent="0.2">
      <c r="A135" s="15">
        <v>134</v>
      </c>
      <c r="B135" s="3">
        <v>45250</v>
      </c>
      <c r="C135" s="4">
        <v>5.54</v>
      </c>
      <c r="D135" s="16">
        <f t="shared" si="17"/>
        <v>5.5399999999999998E-2</v>
      </c>
      <c r="E135" s="17">
        <f t="shared" si="18"/>
        <v>7.2727272727273196E-3</v>
      </c>
      <c r="F135" s="18">
        <f t="shared" si="14"/>
        <v>3.9999999999999758E-4</v>
      </c>
      <c r="G135" s="19">
        <f t="shared" si="15"/>
        <v>9.7698715671017966E-7</v>
      </c>
      <c r="H135" s="20">
        <f t="shared" si="16"/>
        <v>3.9902301284328739E-4</v>
      </c>
      <c r="I135" s="21">
        <f t="shared" si="19"/>
        <v>201.49857756736404</v>
      </c>
      <c r="J135" s="22">
        <f t="shared" si="20"/>
        <v>5.3057823221427842</v>
      </c>
      <c r="O135" s="4"/>
    </row>
    <row r="136" spans="1:15" x14ac:dyDescent="0.2">
      <c r="A136" s="15">
        <v>135</v>
      </c>
      <c r="B136" s="3">
        <v>45247</v>
      </c>
      <c r="C136" s="4">
        <v>5.5</v>
      </c>
      <c r="D136" s="16">
        <f t="shared" si="17"/>
        <v>5.5E-2</v>
      </c>
      <c r="E136" s="17">
        <f t="shared" si="18"/>
        <v>-1.814882032667775E-3</v>
      </c>
      <c r="F136" s="18">
        <f t="shared" si="14"/>
        <v>-9.9999999999995925E-5</v>
      </c>
      <c r="G136" s="19">
        <f t="shared" si="15"/>
        <v>9.3638231962158948E-7</v>
      </c>
      <c r="H136" s="20">
        <f t="shared" si="16"/>
        <v>-1.0093638231961752E-4</v>
      </c>
      <c r="I136" s="21">
        <f t="shared" si="19"/>
        <v>1873.82118531983</v>
      </c>
      <c r="J136" s="22">
        <f t="shared" si="20"/>
        <v>7.5357350395263039</v>
      </c>
      <c r="O136" s="4"/>
    </row>
    <row r="137" spans="1:15" x14ac:dyDescent="0.2">
      <c r="A137" s="15">
        <v>136</v>
      </c>
      <c r="B137" s="3">
        <v>45246</v>
      </c>
      <c r="C137" s="4">
        <v>5.51</v>
      </c>
      <c r="D137" s="16">
        <f t="shared" si="17"/>
        <v>5.5099999999999996E-2</v>
      </c>
      <c r="E137" s="17">
        <f t="shared" si="18"/>
        <v>-3.6166365280290158E-3</v>
      </c>
      <c r="F137" s="18">
        <f t="shared" si="14"/>
        <v>-2.0000000000000573E-4</v>
      </c>
      <c r="G137" s="19">
        <f t="shared" si="15"/>
        <v>8.5517264544440353E-7</v>
      </c>
      <c r="H137" s="20">
        <f t="shared" si="16"/>
        <v>-2.0085517264545013E-4</v>
      </c>
      <c r="I137" s="21">
        <f t="shared" si="19"/>
        <v>1193.3637963107935</v>
      </c>
      <c r="J137" s="22">
        <f t="shared" si="20"/>
        <v>7.0845313180355554</v>
      </c>
      <c r="O137" s="4"/>
    </row>
    <row r="138" spans="1:15" x14ac:dyDescent="0.2">
      <c r="A138" s="15">
        <v>137</v>
      </c>
      <c r="B138" s="3">
        <v>45245</v>
      </c>
      <c r="C138" s="4">
        <v>5.53</v>
      </c>
      <c r="D138" s="16">
        <f t="shared" si="17"/>
        <v>5.5300000000000002E-2</v>
      </c>
      <c r="E138" s="17">
        <f t="shared" si="18"/>
        <v>1.8115942028986698E-3</v>
      </c>
      <c r="F138" s="18">
        <f t="shared" si="14"/>
        <v>1.0000000000000286E-4</v>
      </c>
      <c r="G138" s="19">
        <f t="shared" si="15"/>
        <v>8.9577748253299656E-7</v>
      </c>
      <c r="H138" s="20">
        <f t="shared" si="16"/>
        <v>9.9104222517469869E-5</v>
      </c>
      <c r="I138" s="21">
        <f t="shared" si="19"/>
        <v>1884.1255083131027</v>
      </c>
      <c r="J138" s="22">
        <f t="shared" si="20"/>
        <v>7.5412190709180136</v>
      </c>
      <c r="O138" s="4"/>
    </row>
    <row r="139" spans="1:15" x14ac:dyDescent="0.2">
      <c r="A139" s="15">
        <v>138</v>
      </c>
      <c r="B139" s="3">
        <v>45244</v>
      </c>
      <c r="C139" s="4">
        <v>5.52</v>
      </c>
      <c r="D139" s="16">
        <f t="shared" si="17"/>
        <v>5.5199999999999999E-2</v>
      </c>
      <c r="E139" s="17">
        <f t="shared" si="18"/>
        <v>-5.4054054054054612E-3</v>
      </c>
      <c r="F139" s="18">
        <f t="shared" si="14"/>
        <v>-3.0000000000000165E-4</v>
      </c>
      <c r="G139" s="19">
        <f t="shared" si="15"/>
        <v>7.7396297126722032E-7</v>
      </c>
      <c r="H139" s="20">
        <f t="shared" si="16"/>
        <v>-3.0077396297126886E-4</v>
      </c>
      <c r="I139" s="21">
        <f t="shared" si="19"/>
        <v>563.71771988265266</v>
      </c>
      <c r="J139" s="22">
        <f t="shared" si="20"/>
        <v>6.3345536295458347</v>
      </c>
      <c r="O139" s="4"/>
    </row>
    <row r="140" spans="1:15" x14ac:dyDescent="0.2">
      <c r="A140" s="15">
        <v>139</v>
      </c>
      <c r="B140" s="3">
        <v>45243</v>
      </c>
      <c r="C140" s="4">
        <v>5.55</v>
      </c>
      <c r="D140" s="16">
        <f t="shared" si="17"/>
        <v>5.5500000000000001E-2</v>
      </c>
      <c r="E140" s="17">
        <f t="shared" si="18"/>
        <v>3.6166365280290158E-3</v>
      </c>
      <c r="F140" s="18">
        <f t="shared" si="14"/>
        <v>1.9999999999999879E-4</v>
      </c>
      <c r="G140" s="19">
        <f t="shared" si="15"/>
        <v>8.5517264544440353E-7</v>
      </c>
      <c r="H140" s="20">
        <f t="shared" si="16"/>
        <v>1.9914482735455439E-4</v>
      </c>
      <c r="I140" s="21">
        <f t="shared" si="19"/>
        <v>1205.6427071942785</v>
      </c>
      <c r="J140" s="22">
        <f t="shared" si="20"/>
        <v>7.0947680707013587</v>
      </c>
      <c r="O140" s="4"/>
    </row>
    <row r="141" spans="1:15" x14ac:dyDescent="0.2">
      <c r="A141" s="15">
        <v>140</v>
      </c>
      <c r="B141" s="3">
        <v>45240</v>
      </c>
      <c r="C141" s="4">
        <v>5.53</v>
      </c>
      <c r="D141" s="16">
        <f t="shared" si="17"/>
        <v>5.5300000000000002E-2</v>
      </c>
      <c r="E141" s="17">
        <f t="shared" si="18"/>
        <v>-1.8050541516244634E-3</v>
      </c>
      <c r="F141" s="18">
        <f t="shared" si="14"/>
        <v>-9.9999999999995925E-5</v>
      </c>
      <c r="G141" s="19">
        <f t="shared" si="15"/>
        <v>8.1456780835581335E-7</v>
      </c>
      <c r="H141" s="20">
        <f t="shared" si="16"/>
        <v>-1.0081456780835174E-4</v>
      </c>
      <c r="I141" s="21">
        <f t="shared" si="19"/>
        <v>1874.5103786057937</v>
      </c>
      <c r="J141" s="22">
        <f t="shared" si="20"/>
        <v>7.5361027728935248</v>
      </c>
      <c r="O141" s="4"/>
    </row>
    <row r="142" spans="1:15" x14ac:dyDescent="0.2">
      <c r="A142" s="15">
        <v>141</v>
      </c>
      <c r="B142" s="3">
        <v>45239</v>
      </c>
      <c r="C142" s="4">
        <v>5.54</v>
      </c>
      <c r="D142" s="16">
        <f t="shared" si="17"/>
        <v>5.5399999999999998E-2</v>
      </c>
      <c r="E142" s="17">
        <f t="shared" si="18"/>
        <v>0</v>
      </c>
      <c r="F142" s="18">
        <f t="shared" si="14"/>
        <v>0</v>
      </c>
      <c r="G142" s="19">
        <f t="shared" si="15"/>
        <v>8.1456780835581335E-7</v>
      </c>
      <c r="H142" s="20">
        <f t="shared" si="16"/>
        <v>-8.1456780835581335E-7</v>
      </c>
      <c r="I142" s="21">
        <f t="shared" si="19"/>
        <v>2182.3779408353389</v>
      </c>
      <c r="J142" s="22">
        <f t="shared" si="20"/>
        <v>7.6881703598429914</v>
      </c>
      <c r="O142" s="4"/>
    </row>
    <row r="143" spans="1:15" x14ac:dyDescent="0.2">
      <c r="A143" s="15">
        <v>142</v>
      </c>
      <c r="B143" s="3">
        <v>45238</v>
      </c>
      <c r="C143" s="4">
        <v>5.54</v>
      </c>
      <c r="D143" s="16">
        <f t="shared" si="17"/>
        <v>5.5399999999999998E-2</v>
      </c>
      <c r="E143" s="17">
        <f t="shared" si="18"/>
        <v>-1.8018018018018944E-3</v>
      </c>
      <c r="F143" s="18">
        <f t="shared" si="14"/>
        <v>-1.0000000000000286E-4</v>
      </c>
      <c r="G143" s="19">
        <f t="shared" si="15"/>
        <v>7.7396297126722032E-7</v>
      </c>
      <c r="H143" s="20">
        <f t="shared" si="16"/>
        <v>-1.0077396297127009E-4</v>
      </c>
      <c r="I143" s="21">
        <f t="shared" si="19"/>
        <v>1874.7399810252857</v>
      </c>
      <c r="J143" s="22">
        <f t="shared" si="20"/>
        <v>7.5362252520014819</v>
      </c>
      <c r="O143" s="4"/>
    </row>
    <row r="144" spans="1:15" x14ac:dyDescent="0.2">
      <c r="A144" s="15">
        <v>143</v>
      </c>
      <c r="B144" s="3">
        <v>45237</v>
      </c>
      <c r="C144" s="4">
        <v>5.55</v>
      </c>
      <c r="D144" s="16">
        <f t="shared" si="17"/>
        <v>5.5500000000000001E-2</v>
      </c>
      <c r="E144" s="17">
        <f t="shared" si="18"/>
        <v>-1.7985611510790145E-3</v>
      </c>
      <c r="F144" s="18">
        <f t="shared" si="14"/>
        <v>-9.9999999999995925E-5</v>
      </c>
      <c r="G144" s="19">
        <f t="shared" si="15"/>
        <v>7.3335813417863015E-7</v>
      </c>
      <c r="H144" s="20">
        <f t="shared" si="16"/>
        <v>-1.0073335813417455E-4</v>
      </c>
      <c r="I144" s="21">
        <f t="shared" si="19"/>
        <v>1874.9695190560535</v>
      </c>
      <c r="J144" s="22">
        <f t="shared" si="20"/>
        <v>7.5363476817689348</v>
      </c>
      <c r="O144" s="4"/>
    </row>
    <row r="145" spans="1:15" x14ac:dyDescent="0.2">
      <c r="A145" s="15">
        <v>144</v>
      </c>
      <c r="B145" s="3">
        <v>45236</v>
      </c>
      <c r="C145" s="4">
        <v>5.56</v>
      </c>
      <c r="D145" s="16">
        <f t="shared" si="17"/>
        <v>5.5599999999999997E-2</v>
      </c>
      <c r="E145" s="17">
        <f t="shared" si="18"/>
        <v>5.4249547920433017E-3</v>
      </c>
      <c r="F145" s="18">
        <f t="shared" si="14"/>
        <v>2.9999999999999472E-4</v>
      </c>
      <c r="G145" s="19">
        <f t="shared" si="15"/>
        <v>8.5517264544440353E-7</v>
      </c>
      <c r="H145" s="20">
        <f t="shared" si="16"/>
        <v>2.9914482735455032E-4</v>
      </c>
      <c r="I145" s="21">
        <f t="shared" si="19"/>
        <v>572.02213897330262</v>
      </c>
      <c r="J145" s="22">
        <f t="shared" si="20"/>
        <v>6.3491776951295789</v>
      </c>
      <c r="O145" s="4"/>
    </row>
    <row r="146" spans="1:15" x14ac:dyDescent="0.2">
      <c r="A146" s="15">
        <v>145</v>
      </c>
      <c r="B146" s="3">
        <v>45233</v>
      </c>
      <c r="C146" s="4">
        <v>5.53</v>
      </c>
      <c r="D146" s="16">
        <f t="shared" si="17"/>
        <v>5.5300000000000002E-2</v>
      </c>
      <c r="E146" s="17">
        <f t="shared" si="18"/>
        <v>-1.8050541516244634E-3</v>
      </c>
      <c r="F146" s="18">
        <f t="shared" si="14"/>
        <v>-9.9999999999995925E-5</v>
      </c>
      <c r="G146" s="19">
        <f t="shared" si="15"/>
        <v>8.1456780835581335E-7</v>
      </c>
      <c r="H146" s="20">
        <f t="shared" si="16"/>
        <v>-1.0081456780835174E-4</v>
      </c>
      <c r="I146" s="21">
        <f t="shared" si="19"/>
        <v>1874.5103786057937</v>
      </c>
      <c r="J146" s="22">
        <f t="shared" si="20"/>
        <v>7.5361027728935248</v>
      </c>
      <c r="O146" s="4"/>
    </row>
    <row r="147" spans="1:15" x14ac:dyDescent="0.2">
      <c r="A147" s="15">
        <v>146</v>
      </c>
      <c r="B147" s="3">
        <v>45232</v>
      </c>
      <c r="C147" s="4">
        <v>5.54</v>
      </c>
      <c r="D147" s="16">
        <f t="shared" si="17"/>
        <v>5.5399999999999998E-2</v>
      </c>
      <c r="E147" s="17">
        <f t="shared" si="18"/>
        <v>-5.3859964093357915E-3</v>
      </c>
      <c r="F147" s="18">
        <f t="shared" si="14"/>
        <v>-3.0000000000000165E-4</v>
      </c>
      <c r="G147" s="19">
        <f t="shared" si="15"/>
        <v>6.9275329709003722E-7</v>
      </c>
      <c r="H147" s="20">
        <f t="shared" si="16"/>
        <v>-3.0069275329709167E-4</v>
      </c>
      <c r="I147" s="21">
        <f t="shared" si="19"/>
        <v>564.12987262333741</v>
      </c>
      <c r="J147" s="22">
        <f t="shared" si="20"/>
        <v>6.3352844955986054</v>
      </c>
      <c r="O147" s="4"/>
    </row>
    <row r="148" spans="1:15" x14ac:dyDescent="0.2">
      <c r="A148" s="15">
        <v>147</v>
      </c>
      <c r="B148" s="3">
        <v>45231</v>
      </c>
      <c r="C148" s="4">
        <v>5.57</v>
      </c>
      <c r="D148" s="16">
        <f t="shared" si="17"/>
        <v>5.57E-2</v>
      </c>
      <c r="E148" s="17">
        <f t="shared" si="18"/>
        <v>-3.5778175313059268E-3</v>
      </c>
      <c r="F148" s="18">
        <f t="shared" si="14"/>
        <v>-1.9999999999999879E-4</v>
      </c>
      <c r="G148" s="19">
        <f t="shared" si="15"/>
        <v>6.1154362291285412E-7</v>
      </c>
      <c r="H148" s="20">
        <f t="shared" si="16"/>
        <v>-2.0061154362291164E-4</v>
      </c>
      <c r="I148" s="21">
        <f t="shared" si="19"/>
        <v>1195.1115800174582</v>
      </c>
      <c r="J148" s="22">
        <f t="shared" si="20"/>
        <v>7.0859948324062261</v>
      </c>
      <c r="O148" s="4"/>
    </row>
    <row r="149" spans="1:15" x14ac:dyDescent="0.2">
      <c r="A149" s="15">
        <v>148</v>
      </c>
      <c r="B149" s="3">
        <v>45230</v>
      </c>
      <c r="C149" s="4">
        <v>5.59</v>
      </c>
      <c r="D149" s="16">
        <f t="shared" si="17"/>
        <v>5.5899999999999998E-2</v>
      </c>
      <c r="E149" s="17">
        <f t="shared" si="18"/>
        <v>-1.7857142857141683E-3</v>
      </c>
      <c r="F149" s="18">
        <f t="shared" si="14"/>
        <v>-9.9999999999995925E-5</v>
      </c>
      <c r="G149" s="19">
        <f t="shared" si="15"/>
        <v>5.7093878582426395E-7</v>
      </c>
      <c r="H149" s="20">
        <f t="shared" si="16"/>
        <v>-1.0057093878582019E-4</v>
      </c>
      <c r="I149" s="21">
        <f t="shared" si="19"/>
        <v>1875.8870266803037</v>
      </c>
      <c r="J149" s="22">
        <f t="shared" si="20"/>
        <v>7.5368369074331865</v>
      </c>
      <c r="O149" s="4"/>
    </row>
    <row r="150" spans="1:15" x14ac:dyDescent="0.2">
      <c r="A150" s="15">
        <v>149</v>
      </c>
      <c r="B150" s="3">
        <v>45229</v>
      </c>
      <c r="C150" s="4">
        <v>5.6</v>
      </c>
      <c r="D150" s="16">
        <f t="shared" si="17"/>
        <v>5.5999999999999994E-2</v>
      </c>
      <c r="E150" s="17">
        <f t="shared" si="18"/>
        <v>1.7889087656528524E-3</v>
      </c>
      <c r="F150" s="18">
        <f t="shared" si="14"/>
        <v>9.9999999999995925E-5</v>
      </c>
      <c r="G150" s="19">
        <f t="shared" si="15"/>
        <v>6.1154362291285412E-7</v>
      </c>
      <c r="H150" s="20">
        <f t="shared" si="16"/>
        <v>9.9388456377083075E-5</v>
      </c>
      <c r="I150" s="21">
        <f t="shared" si="19"/>
        <v>1882.5356249768113</v>
      </c>
      <c r="J150" s="22">
        <f t="shared" si="20"/>
        <v>7.5403748837854572</v>
      </c>
      <c r="O150" s="4"/>
    </row>
    <row r="151" spans="1:15" x14ac:dyDescent="0.2">
      <c r="A151" s="15">
        <v>150</v>
      </c>
      <c r="B151" s="3">
        <v>45226</v>
      </c>
      <c r="C151" s="4">
        <v>5.59</v>
      </c>
      <c r="D151" s="16">
        <f t="shared" si="17"/>
        <v>5.5899999999999998E-2</v>
      </c>
      <c r="E151" s="17">
        <f t="shared" si="18"/>
        <v>0</v>
      </c>
      <c r="F151" s="18">
        <f t="shared" si="14"/>
        <v>0</v>
      </c>
      <c r="G151" s="19">
        <f t="shared" si="15"/>
        <v>6.1154362291285412E-7</v>
      </c>
      <c r="H151" s="20">
        <f t="shared" si="16"/>
        <v>-6.1154362291285412E-7</v>
      </c>
      <c r="I151" s="21">
        <f t="shared" si="19"/>
        <v>2182.3873955965419</v>
      </c>
      <c r="J151" s="22">
        <f t="shared" si="20"/>
        <v>7.688174692154341</v>
      </c>
      <c r="O151" s="4"/>
    </row>
    <row r="152" spans="1:15" x14ac:dyDescent="0.2">
      <c r="A152" s="15">
        <v>151</v>
      </c>
      <c r="B152" s="3">
        <v>45225</v>
      </c>
      <c r="C152" s="4">
        <v>5.59</v>
      </c>
      <c r="D152" s="16">
        <f t="shared" si="17"/>
        <v>5.5899999999999998E-2</v>
      </c>
      <c r="E152" s="17">
        <f t="shared" si="18"/>
        <v>0</v>
      </c>
      <c r="F152" s="18">
        <f t="shared" si="14"/>
        <v>0</v>
      </c>
      <c r="G152" s="19">
        <f t="shared" si="15"/>
        <v>6.1154362291285412E-7</v>
      </c>
      <c r="H152" s="20">
        <f t="shared" si="16"/>
        <v>-6.1154362291285412E-7</v>
      </c>
      <c r="I152" s="21">
        <f t="shared" si="19"/>
        <v>2182.3873955965419</v>
      </c>
      <c r="J152" s="22">
        <f t="shared" si="20"/>
        <v>7.688174692154341</v>
      </c>
      <c r="O152" s="4"/>
    </row>
    <row r="153" spans="1:15" x14ac:dyDescent="0.2">
      <c r="A153" s="15">
        <v>152</v>
      </c>
      <c r="B153" s="3">
        <v>45224</v>
      </c>
      <c r="C153" s="4">
        <v>5.59</v>
      </c>
      <c r="D153" s="16">
        <f t="shared" si="17"/>
        <v>5.5899999999999998E-2</v>
      </c>
      <c r="E153" s="17">
        <f t="shared" si="18"/>
        <v>1.7921146953403522E-3</v>
      </c>
      <c r="F153" s="18">
        <f t="shared" si="14"/>
        <v>9.9999999999995925E-5</v>
      </c>
      <c r="G153" s="19">
        <f t="shared" si="15"/>
        <v>6.5214846000144419E-7</v>
      </c>
      <c r="H153" s="20">
        <f t="shared" si="16"/>
        <v>9.9347851539994479E-5</v>
      </c>
      <c r="I153" s="21">
        <f t="shared" si="19"/>
        <v>1882.7629476926143</v>
      </c>
      <c r="J153" s="22">
        <f t="shared" si="20"/>
        <v>7.5404956299688966</v>
      </c>
      <c r="O153" s="4"/>
    </row>
    <row r="154" spans="1:15" x14ac:dyDescent="0.2">
      <c r="A154" s="15">
        <v>153</v>
      </c>
      <c r="B154" s="3">
        <v>45223</v>
      </c>
      <c r="C154" s="4">
        <v>5.58</v>
      </c>
      <c r="D154" s="16">
        <f t="shared" si="17"/>
        <v>5.5800000000000002E-2</v>
      </c>
      <c r="E154" s="17">
        <f t="shared" si="18"/>
        <v>0</v>
      </c>
      <c r="F154" s="18">
        <f t="shared" si="14"/>
        <v>0</v>
      </c>
      <c r="G154" s="19">
        <f t="shared" si="15"/>
        <v>6.5214846000144419E-7</v>
      </c>
      <c r="H154" s="20">
        <f t="shared" si="16"/>
        <v>-6.5214846000144419E-7</v>
      </c>
      <c r="I154" s="21">
        <f t="shared" si="19"/>
        <v>2182.3857200012258</v>
      </c>
      <c r="J154" s="22">
        <f t="shared" si="20"/>
        <v>7.6881739243731655</v>
      </c>
      <c r="O154" s="4"/>
    </row>
    <row r="155" spans="1:15" x14ac:dyDescent="0.2">
      <c r="A155" s="15">
        <v>154</v>
      </c>
      <c r="B155" s="3">
        <v>45222</v>
      </c>
      <c r="C155" s="4">
        <v>5.58</v>
      </c>
      <c r="D155" s="16">
        <f t="shared" si="17"/>
        <v>5.5800000000000002E-2</v>
      </c>
      <c r="E155" s="17">
        <f t="shared" si="18"/>
        <v>0</v>
      </c>
      <c r="F155" s="18">
        <f t="shared" si="14"/>
        <v>0</v>
      </c>
      <c r="G155" s="19">
        <f t="shared" si="15"/>
        <v>6.5214846000144419E-7</v>
      </c>
      <c r="H155" s="20">
        <f t="shared" si="16"/>
        <v>-6.5214846000144419E-7</v>
      </c>
      <c r="I155" s="21">
        <f t="shared" si="19"/>
        <v>2182.3857200012258</v>
      </c>
      <c r="J155" s="22">
        <f t="shared" si="20"/>
        <v>7.6881739243731655</v>
      </c>
      <c r="O155" s="4"/>
    </row>
    <row r="156" spans="1:15" x14ac:dyDescent="0.2">
      <c r="A156" s="15">
        <v>155</v>
      </c>
      <c r="B156" s="3">
        <v>45219</v>
      </c>
      <c r="C156" s="4">
        <v>5.58</v>
      </c>
      <c r="D156" s="16">
        <f t="shared" si="17"/>
        <v>5.5800000000000002E-2</v>
      </c>
      <c r="E156" s="17">
        <f t="shared" si="18"/>
        <v>-3.5714285714284477E-3</v>
      </c>
      <c r="F156" s="18">
        <f t="shared" si="14"/>
        <v>-1.9999999999999185E-4</v>
      </c>
      <c r="G156" s="19">
        <f t="shared" si="15"/>
        <v>5.7093878582426395E-7</v>
      </c>
      <c r="H156" s="20">
        <f t="shared" si="16"/>
        <v>-2.0057093878581611E-4</v>
      </c>
      <c r="I156" s="21">
        <f t="shared" si="19"/>
        <v>1195.402919631754</v>
      </c>
      <c r="J156" s="22">
        <f t="shared" si="20"/>
        <v>7.0862385787761237</v>
      </c>
      <c r="O156" s="4"/>
    </row>
    <row r="157" spans="1:15" x14ac:dyDescent="0.2">
      <c r="A157" s="15">
        <v>156</v>
      </c>
      <c r="B157" s="3">
        <v>45218</v>
      </c>
      <c r="C157" s="4">
        <v>5.6</v>
      </c>
      <c r="D157" s="16">
        <f t="shared" si="17"/>
        <v>5.5999999999999994E-2</v>
      </c>
      <c r="E157" s="17">
        <f t="shared" si="18"/>
        <v>-1.7825311942960553E-3</v>
      </c>
      <c r="F157" s="18">
        <f t="shared" si="14"/>
        <v>-1.000000000000098E-4</v>
      </c>
      <c r="G157" s="19">
        <f t="shared" si="15"/>
        <v>5.3033394873566806E-7</v>
      </c>
      <c r="H157" s="20">
        <f t="shared" si="16"/>
        <v>-1.0053033394874548E-4</v>
      </c>
      <c r="I157" s="21">
        <f t="shared" si="19"/>
        <v>1876.1162423090148</v>
      </c>
      <c r="J157" s="22">
        <f t="shared" si="20"/>
        <v>7.536959090497839</v>
      </c>
      <c r="O157" s="4"/>
    </row>
    <row r="158" spans="1:15" x14ac:dyDescent="0.2">
      <c r="A158" s="15">
        <v>157</v>
      </c>
      <c r="B158" s="3">
        <v>45217</v>
      </c>
      <c r="C158" s="4">
        <v>5.61</v>
      </c>
      <c r="D158" s="16">
        <f t="shared" si="17"/>
        <v>5.6100000000000004E-2</v>
      </c>
      <c r="E158" s="17">
        <f t="shared" si="18"/>
        <v>-1.779359430604921E-3</v>
      </c>
      <c r="F158" s="18">
        <f t="shared" si="14"/>
        <v>-9.9999999999995925E-5</v>
      </c>
      <c r="G158" s="19">
        <f t="shared" si="15"/>
        <v>4.8972911164707799E-7</v>
      </c>
      <c r="H158" s="20">
        <f t="shared" si="16"/>
        <v>-1.00489729111643E-4</v>
      </c>
      <c r="I158" s="21">
        <f t="shared" si="19"/>
        <v>1876.34539336595</v>
      </c>
      <c r="J158" s="22">
        <f t="shared" si="20"/>
        <v>7.5370812242220273</v>
      </c>
      <c r="O158" s="4"/>
    </row>
    <row r="159" spans="1:15" x14ac:dyDescent="0.2">
      <c r="A159" s="15">
        <v>158</v>
      </c>
      <c r="B159" s="3">
        <v>45216</v>
      </c>
      <c r="C159" s="4">
        <v>5.62</v>
      </c>
      <c r="D159" s="16">
        <f t="shared" si="17"/>
        <v>5.62E-2</v>
      </c>
      <c r="E159" s="17">
        <f t="shared" si="18"/>
        <v>1.7825311942958333E-3</v>
      </c>
      <c r="F159" s="18">
        <f t="shared" si="14"/>
        <v>9.9999999999995925E-5</v>
      </c>
      <c r="G159" s="19">
        <f t="shared" si="15"/>
        <v>5.3033394873566806E-7</v>
      </c>
      <c r="H159" s="20">
        <f t="shared" si="16"/>
        <v>9.9469666051260253E-5</v>
      </c>
      <c r="I159" s="21">
        <f t="shared" si="19"/>
        <v>1882.0807832932639</v>
      </c>
      <c r="J159" s="22">
        <f t="shared" si="20"/>
        <v>7.5401332433969381</v>
      </c>
      <c r="O159" s="4"/>
    </row>
    <row r="160" spans="1:15" x14ac:dyDescent="0.2">
      <c r="A160" s="15">
        <v>159</v>
      </c>
      <c r="B160" s="3">
        <v>45215</v>
      </c>
      <c r="C160" s="4">
        <v>5.61</v>
      </c>
      <c r="D160" s="16">
        <f t="shared" si="17"/>
        <v>5.6100000000000004E-2</v>
      </c>
      <c r="E160" s="17">
        <f t="shared" si="18"/>
        <v>-1.779359430604921E-3</v>
      </c>
      <c r="F160" s="18">
        <f t="shared" si="14"/>
        <v>-9.9999999999995925E-5</v>
      </c>
      <c r="G160" s="19">
        <f t="shared" si="15"/>
        <v>4.8972911164707799E-7</v>
      </c>
      <c r="H160" s="20">
        <f t="shared" si="16"/>
        <v>-1.00489729111643E-4</v>
      </c>
      <c r="I160" s="21">
        <f t="shared" si="19"/>
        <v>1876.34539336595</v>
      </c>
      <c r="J160" s="22">
        <f t="shared" si="20"/>
        <v>7.5370812242220273</v>
      </c>
      <c r="O160" s="4"/>
    </row>
    <row r="161" spans="1:15" x14ac:dyDescent="0.2">
      <c r="A161" s="15">
        <v>160</v>
      </c>
      <c r="B161" s="3">
        <v>45212</v>
      </c>
      <c r="C161" s="4">
        <v>5.62</v>
      </c>
      <c r="D161" s="16">
        <f t="shared" si="17"/>
        <v>5.62E-2</v>
      </c>
      <c r="E161" s="17">
        <f t="shared" si="18"/>
        <v>-1.7761989342806039E-3</v>
      </c>
      <c r="F161" s="18">
        <f t="shared" si="14"/>
        <v>-9.9999999999995925E-5</v>
      </c>
      <c r="G161" s="19">
        <f t="shared" si="15"/>
        <v>4.4912427455848782E-7</v>
      </c>
      <c r="H161" s="20">
        <f t="shared" si="16"/>
        <v>-1.0044912427455442E-4</v>
      </c>
      <c r="I161" s="21">
        <f t="shared" si="19"/>
        <v>1876.5744798203737</v>
      </c>
      <c r="J161" s="22">
        <f t="shared" si="20"/>
        <v>7.5372033086056272</v>
      </c>
      <c r="O161" s="4"/>
    </row>
    <row r="162" spans="1:15" x14ac:dyDescent="0.2">
      <c r="A162" s="15">
        <v>161</v>
      </c>
      <c r="B162" s="3">
        <v>45211</v>
      </c>
      <c r="C162" s="4">
        <v>5.63</v>
      </c>
      <c r="D162" s="16">
        <f t="shared" si="17"/>
        <v>5.6299999999999996E-2</v>
      </c>
      <c r="E162" s="17">
        <f t="shared" si="18"/>
        <v>3.5650623885916666E-3</v>
      </c>
      <c r="F162" s="18">
        <f t="shared" si="14"/>
        <v>1.9999999999999185E-4</v>
      </c>
      <c r="G162" s="19">
        <f t="shared" si="15"/>
        <v>5.3033394873566806E-7</v>
      </c>
      <c r="H162" s="20">
        <f t="shared" si="16"/>
        <v>1.9946966605125619E-4</v>
      </c>
      <c r="I162" s="21">
        <f t="shared" si="19"/>
        <v>1203.3090490418672</v>
      </c>
      <c r="J162" s="22">
        <f t="shared" si="20"/>
        <v>7.0928305816035468</v>
      </c>
      <c r="O162" s="4"/>
    </row>
    <row r="163" spans="1:15" x14ac:dyDescent="0.2">
      <c r="A163" s="15">
        <v>162</v>
      </c>
      <c r="B163" s="3">
        <v>45210</v>
      </c>
      <c r="C163" s="4">
        <v>5.61</v>
      </c>
      <c r="D163" s="16">
        <f t="shared" si="17"/>
        <v>5.6100000000000004E-2</v>
      </c>
      <c r="E163" s="17">
        <f t="shared" si="18"/>
        <v>0</v>
      </c>
      <c r="F163" s="18">
        <f t="shared" si="14"/>
        <v>0</v>
      </c>
      <c r="G163" s="19">
        <f t="shared" si="15"/>
        <v>5.3033394873566806E-7</v>
      </c>
      <c r="H163" s="20">
        <f t="shared" si="16"/>
        <v>-5.3033394873566806E-7</v>
      </c>
      <c r="I163" s="21">
        <f t="shared" si="19"/>
        <v>2182.3904237499955</v>
      </c>
      <c r="J163" s="22">
        <f t="shared" si="20"/>
        <v>7.6881760796950491</v>
      </c>
      <c r="O163" s="4"/>
    </row>
    <row r="164" spans="1:15" x14ac:dyDescent="0.2">
      <c r="A164" s="15">
        <v>163</v>
      </c>
      <c r="B164" s="3">
        <v>45209</v>
      </c>
      <c r="C164" s="4">
        <v>5.61</v>
      </c>
      <c r="D164" s="16">
        <f t="shared" si="17"/>
        <v>5.6100000000000004E-2</v>
      </c>
      <c r="E164" s="17">
        <f t="shared" si="18"/>
        <v>-3.5523978685610968E-3</v>
      </c>
      <c r="F164" s="18">
        <f t="shared" si="14"/>
        <v>-1.9999999999999185E-4</v>
      </c>
      <c r="G164" s="19">
        <f t="shared" si="15"/>
        <v>4.4912427455848782E-7</v>
      </c>
      <c r="H164" s="20">
        <f t="shared" si="16"/>
        <v>-2.0044912427455034E-4</v>
      </c>
      <c r="I164" s="21">
        <f t="shared" si="19"/>
        <v>1196.2770105236946</v>
      </c>
      <c r="J164" s="22">
        <f t="shared" si="20"/>
        <v>7.0869695218424074</v>
      </c>
      <c r="O164" s="4"/>
    </row>
    <row r="165" spans="1:15" x14ac:dyDescent="0.2">
      <c r="A165" s="15">
        <v>164</v>
      </c>
      <c r="B165" s="3">
        <v>45205</v>
      </c>
      <c r="C165" s="4">
        <v>5.63</v>
      </c>
      <c r="D165" s="16">
        <f t="shared" si="17"/>
        <v>5.6299999999999996E-2</v>
      </c>
      <c r="E165" s="17">
        <f t="shared" si="18"/>
        <v>3.5650623885916666E-3</v>
      </c>
      <c r="F165" s="18">
        <f t="shared" si="14"/>
        <v>1.9999999999999185E-4</v>
      </c>
      <c r="G165" s="19">
        <f t="shared" si="15"/>
        <v>5.3033394873566806E-7</v>
      </c>
      <c r="H165" s="20">
        <f t="shared" si="16"/>
        <v>1.9946966605125619E-4</v>
      </c>
      <c r="I165" s="21">
        <f t="shared" si="19"/>
        <v>1203.3090490418672</v>
      </c>
      <c r="J165" s="22">
        <f t="shared" si="20"/>
        <v>7.0928305816035468</v>
      </c>
      <c r="O165" s="4"/>
    </row>
    <row r="166" spans="1:15" x14ac:dyDescent="0.2">
      <c r="A166" s="15">
        <v>165</v>
      </c>
      <c r="B166" s="3">
        <v>45204</v>
      </c>
      <c r="C166" s="4">
        <v>5.61</v>
      </c>
      <c r="D166" s="16">
        <f t="shared" si="17"/>
        <v>5.6100000000000004E-2</v>
      </c>
      <c r="E166" s="17">
        <f t="shared" si="18"/>
        <v>0</v>
      </c>
      <c r="F166" s="18">
        <f t="shared" si="14"/>
        <v>0</v>
      </c>
      <c r="G166" s="19">
        <f t="shared" si="15"/>
        <v>5.3033394873566806E-7</v>
      </c>
      <c r="H166" s="20">
        <f t="shared" si="16"/>
        <v>-5.3033394873566806E-7</v>
      </c>
      <c r="I166" s="21">
        <f t="shared" si="19"/>
        <v>2182.3904237499955</v>
      </c>
      <c r="J166" s="22">
        <f t="shared" si="20"/>
        <v>7.6881760796950491</v>
      </c>
      <c r="O166" s="4"/>
    </row>
    <row r="167" spans="1:15" x14ac:dyDescent="0.2">
      <c r="A167" s="15">
        <v>166</v>
      </c>
      <c r="B167" s="3">
        <v>45203</v>
      </c>
      <c r="C167" s="4">
        <v>5.61</v>
      </c>
      <c r="D167" s="16">
        <f t="shared" si="17"/>
        <v>5.6100000000000004E-2</v>
      </c>
      <c r="E167" s="17">
        <f t="shared" si="18"/>
        <v>-1.779359430604921E-3</v>
      </c>
      <c r="F167" s="18">
        <f t="shared" si="14"/>
        <v>-9.9999999999995925E-5</v>
      </c>
      <c r="G167" s="19">
        <f t="shared" si="15"/>
        <v>4.8972911164707799E-7</v>
      </c>
      <c r="H167" s="20">
        <f t="shared" si="16"/>
        <v>-1.00489729111643E-4</v>
      </c>
      <c r="I167" s="21">
        <f t="shared" si="19"/>
        <v>1876.34539336595</v>
      </c>
      <c r="J167" s="22">
        <f t="shared" si="20"/>
        <v>7.5370812242220273</v>
      </c>
      <c r="O167" s="4"/>
    </row>
    <row r="168" spans="1:15" x14ac:dyDescent="0.2">
      <c r="A168" s="15">
        <v>167</v>
      </c>
      <c r="B168" s="3">
        <v>45202</v>
      </c>
      <c r="C168" s="4">
        <v>5.62</v>
      </c>
      <c r="D168" s="16">
        <f t="shared" si="17"/>
        <v>5.62E-2</v>
      </c>
      <c r="E168" s="17">
        <f t="shared" si="18"/>
        <v>0</v>
      </c>
      <c r="F168" s="18">
        <f t="shared" si="14"/>
        <v>0</v>
      </c>
      <c r="G168" s="19">
        <f t="shared" si="15"/>
        <v>4.8972911164707799E-7</v>
      </c>
      <c r="H168" s="20">
        <f t="shared" si="16"/>
        <v>-4.8972911164707799E-7</v>
      </c>
      <c r="I168" s="21">
        <f t="shared" si="19"/>
        <v>2182.3917763076847</v>
      </c>
      <c r="J168" s="22">
        <f t="shared" si="20"/>
        <v>7.6881766994545817</v>
      </c>
      <c r="O168" s="4"/>
    </row>
    <row r="169" spans="1:15" x14ac:dyDescent="0.2">
      <c r="A169" s="15">
        <v>168</v>
      </c>
      <c r="B169" s="3">
        <v>45201</v>
      </c>
      <c r="C169" s="4">
        <v>5.62</v>
      </c>
      <c r="D169" s="16">
        <f t="shared" si="17"/>
        <v>5.62E-2</v>
      </c>
      <c r="E169" s="17">
        <f t="shared" si="18"/>
        <v>1.2612612612612706E-2</v>
      </c>
      <c r="F169" s="18">
        <f t="shared" si="14"/>
        <v>6.9999999999999923E-4</v>
      </c>
      <c r="G169" s="19">
        <f t="shared" si="15"/>
        <v>7.7396297126722032E-7</v>
      </c>
      <c r="H169" s="20">
        <f t="shared" si="16"/>
        <v>6.9922603702873203E-4</v>
      </c>
      <c r="I169" s="21">
        <f t="shared" si="19"/>
        <v>1.4513856517482449</v>
      </c>
      <c r="J169" s="22">
        <f t="shared" si="20"/>
        <v>0.37251872201190805</v>
      </c>
      <c r="O169" s="4"/>
    </row>
    <row r="170" spans="1:15" x14ac:dyDescent="0.2">
      <c r="A170" s="15">
        <v>169</v>
      </c>
      <c r="B170" s="3">
        <v>45198</v>
      </c>
      <c r="C170" s="4">
        <v>5.55</v>
      </c>
      <c r="D170" s="16">
        <f t="shared" si="17"/>
        <v>5.5500000000000001E-2</v>
      </c>
      <c r="E170" s="17">
        <f t="shared" si="18"/>
        <v>-1.7985611510790145E-3</v>
      </c>
      <c r="F170" s="18">
        <f t="shared" si="14"/>
        <v>-9.9999999999995925E-5</v>
      </c>
      <c r="G170" s="19">
        <f t="shared" si="15"/>
        <v>7.3335813417863015E-7</v>
      </c>
      <c r="H170" s="20">
        <f t="shared" si="16"/>
        <v>-1.0073335813417455E-4</v>
      </c>
      <c r="I170" s="21">
        <f t="shared" si="19"/>
        <v>1874.9695190560535</v>
      </c>
      <c r="J170" s="22">
        <f t="shared" si="20"/>
        <v>7.5363476817689348</v>
      </c>
      <c r="O170" s="4"/>
    </row>
    <row r="171" spans="1:15" x14ac:dyDescent="0.2">
      <c r="A171" s="15">
        <v>170</v>
      </c>
      <c r="B171" s="3">
        <v>45197</v>
      </c>
      <c r="C171" s="4">
        <v>5.56</v>
      </c>
      <c r="D171" s="16">
        <f t="shared" si="17"/>
        <v>5.5599999999999997E-2</v>
      </c>
      <c r="E171" s="17">
        <f t="shared" si="18"/>
        <v>-3.5842293906811484E-3</v>
      </c>
      <c r="F171" s="18">
        <f t="shared" si="14"/>
        <v>-2.0000000000000573E-4</v>
      </c>
      <c r="G171" s="19">
        <f t="shared" si="15"/>
        <v>6.5214846000144419E-7</v>
      </c>
      <c r="H171" s="20">
        <f t="shared" si="16"/>
        <v>-2.0065214846000718E-4</v>
      </c>
      <c r="I171" s="21">
        <f t="shared" si="19"/>
        <v>1194.8202524543949</v>
      </c>
      <c r="J171" s="22">
        <f t="shared" si="20"/>
        <v>7.0857510366957817</v>
      </c>
      <c r="O171" s="4"/>
    </row>
    <row r="172" spans="1:15" x14ac:dyDescent="0.2">
      <c r="A172" s="15">
        <v>171</v>
      </c>
      <c r="B172" s="3">
        <v>45196</v>
      </c>
      <c r="C172" s="4">
        <v>5.58</v>
      </c>
      <c r="D172" s="16">
        <f t="shared" si="17"/>
        <v>5.5800000000000002E-2</v>
      </c>
      <c r="E172" s="17">
        <f t="shared" si="18"/>
        <v>0</v>
      </c>
      <c r="F172" s="18">
        <f t="shared" si="14"/>
        <v>0</v>
      </c>
      <c r="G172" s="19">
        <f t="shared" si="15"/>
        <v>6.5214846000144419E-7</v>
      </c>
      <c r="H172" s="20">
        <f t="shared" si="16"/>
        <v>-6.5214846000144419E-7</v>
      </c>
      <c r="I172" s="21">
        <f t="shared" si="19"/>
        <v>2182.3857200012258</v>
      </c>
      <c r="J172" s="22">
        <f t="shared" si="20"/>
        <v>7.6881739243731655</v>
      </c>
      <c r="O172" s="4"/>
    </row>
    <row r="173" spans="1:15" x14ac:dyDescent="0.2">
      <c r="A173" s="15">
        <v>172</v>
      </c>
      <c r="B173" s="3">
        <v>45195</v>
      </c>
      <c r="C173" s="4">
        <v>5.58</v>
      </c>
      <c r="D173" s="16">
        <f t="shared" si="17"/>
        <v>5.5800000000000002E-2</v>
      </c>
      <c r="E173" s="17">
        <f t="shared" si="18"/>
        <v>0</v>
      </c>
      <c r="F173" s="18">
        <f t="shared" si="14"/>
        <v>0</v>
      </c>
      <c r="G173" s="19">
        <f t="shared" si="15"/>
        <v>6.5214846000144419E-7</v>
      </c>
      <c r="H173" s="20">
        <f t="shared" si="16"/>
        <v>-6.5214846000144419E-7</v>
      </c>
      <c r="I173" s="21">
        <f t="shared" si="19"/>
        <v>2182.3857200012258</v>
      </c>
      <c r="J173" s="22">
        <f t="shared" si="20"/>
        <v>7.6881739243731655</v>
      </c>
      <c r="O173" s="4"/>
    </row>
    <row r="174" spans="1:15" x14ac:dyDescent="0.2">
      <c r="A174" s="15">
        <v>173</v>
      </c>
      <c r="B174" s="3">
        <v>45194</v>
      </c>
      <c r="C174" s="4">
        <v>5.58</v>
      </c>
      <c r="D174" s="16">
        <f t="shared" si="17"/>
        <v>5.5800000000000002E-2</v>
      </c>
      <c r="E174" s="17">
        <f t="shared" si="18"/>
        <v>3.5971223021584731E-3</v>
      </c>
      <c r="F174" s="18">
        <f t="shared" si="14"/>
        <v>2.0000000000000573E-4</v>
      </c>
      <c r="G174" s="19">
        <f t="shared" si="15"/>
        <v>7.3335813417863015E-7</v>
      </c>
      <c r="H174" s="20">
        <f t="shared" si="16"/>
        <v>1.9926664186582709E-4</v>
      </c>
      <c r="I174" s="21">
        <f t="shared" si="19"/>
        <v>1204.7675013174724</v>
      </c>
      <c r="J174" s="22">
        <f t="shared" si="20"/>
        <v>7.0940418823437277</v>
      </c>
      <c r="O174" s="4"/>
    </row>
    <row r="175" spans="1:15" x14ac:dyDescent="0.2">
      <c r="A175" s="15">
        <v>174</v>
      </c>
      <c r="B175" s="3">
        <v>45191</v>
      </c>
      <c r="C175" s="4">
        <v>5.56</v>
      </c>
      <c r="D175" s="16">
        <f t="shared" si="17"/>
        <v>5.5599999999999997E-2</v>
      </c>
      <c r="E175" s="17">
        <f t="shared" si="18"/>
        <v>-1.7953321364453378E-3</v>
      </c>
      <c r="F175" s="18">
        <f t="shared" si="14"/>
        <v>-1.0000000000000286E-4</v>
      </c>
      <c r="G175" s="19">
        <f t="shared" si="15"/>
        <v>6.9275329709003722E-7</v>
      </c>
      <c r="H175" s="20">
        <f t="shared" si="16"/>
        <v>-1.0069275329709291E-4</v>
      </c>
      <c r="I175" s="21">
        <f t="shared" si="19"/>
        <v>1875.1989926674034</v>
      </c>
      <c r="J175" s="22">
        <f t="shared" si="20"/>
        <v>7.5364700621957974</v>
      </c>
      <c r="O175" s="4"/>
    </row>
    <row r="176" spans="1:15" x14ac:dyDescent="0.2">
      <c r="A176" s="15">
        <v>175</v>
      </c>
      <c r="B176" s="3">
        <v>45190</v>
      </c>
      <c r="C176" s="4">
        <v>5.57</v>
      </c>
      <c r="D176" s="16">
        <f t="shared" si="17"/>
        <v>5.57E-2</v>
      </c>
      <c r="E176" s="17">
        <f t="shared" si="18"/>
        <v>1.7985611510791255E-3</v>
      </c>
      <c r="F176" s="18">
        <f t="shared" si="14"/>
        <v>1.0000000000000286E-4</v>
      </c>
      <c r="G176" s="19">
        <f t="shared" si="15"/>
        <v>7.3335813417863015E-7</v>
      </c>
      <c r="H176" s="20">
        <f t="shared" si="16"/>
        <v>9.9266641865824239E-5</v>
      </c>
      <c r="I176" s="21">
        <f t="shared" si="19"/>
        <v>1883.2173967205651</v>
      </c>
      <c r="J176" s="22">
        <f t="shared" si="20"/>
        <v>7.5407369743141111</v>
      </c>
      <c r="O176" s="4"/>
    </row>
    <row r="177" spans="1:15" x14ac:dyDescent="0.2">
      <c r="A177" s="15">
        <v>176</v>
      </c>
      <c r="B177" s="3">
        <v>45189</v>
      </c>
      <c r="C177" s="4">
        <v>5.56</v>
      </c>
      <c r="D177" s="16">
        <f t="shared" si="17"/>
        <v>5.5599999999999997E-2</v>
      </c>
      <c r="E177" s="17">
        <f t="shared" si="18"/>
        <v>3.6101083032491488E-3</v>
      </c>
      <c r="F177" s="18">
        <f t="shared" si="14"/>
        <v>1.9999999999999879E-4</v>
      </c>
      <c r="G177" s="19">
        <f t="shared" si="15"/>
        <v>8.1456780835581335E-7</v>
      </c>
      <c r="H177" s="20">
        <f t="shared" si="16"/>
        <v>1.9918543219164299E-4</v>
      </c>
      <c r="I177" s="21">
        <f t="shared" si="19"/>
        <v>1205.3509607535955</v>
      </c>
      <c r="J177" s="22">
        <f t="shared" si="20"/>
        <v>7.0945260572560427</v>
      </c>
      <c r="O177" s="4"/>
    </row>
    <row r="178" spans="1:15" x14ac:dyDescent="0.2">
      <c r="A178" s="15">
        <v>177</v>
      </c>
      <c r="B178" s="3">
        <v>45188</v>
      </c>
      <c r="C178" s="4">
        <v>5.54</v>
      </c>
      <c r="D178" s="16">
        <f t="shared" si="17"/>
        <v>5.5399999999999998E-2</v>
      </c>
      <c r="E178" s="17">
        <f t="shared" si="18"/>
        <v>-1.8018018018018944E-3</v>
      </c>
      <c r="F178" s="18">
        <f t="shared" si="14"/>
        <v>-1.0000000000000286E-4</v>
      </c>
      <c r="G178" s="19">
        <f t="shared" si="15"/>
        <v>7.7396297126722032E-7</v>
      </c>
      <c r="H178" s="20">
        <f t="shared" si="16"/>
        <v>-1.0077396297127009E-4</v>
      </c>
      <c r="I178" s="21">
        <f t="shared" si="19"/>
        <v>1874.7399810252857</v>
      </c>
      <c r="J178" s="22">
        <f t="shared" si="20"/>
        <v>7.5362252520014819</v>
      </c>
      <c r="O178" s="4"/>
    </row>
    <row r="179" spans="1:15" x14ac:dyDescent="0.2">
      <c r="A179" s="15">
        <v>178</v>
      </c>
      <c r="B179" s="3">
        <v>45187</v>
      </c>
      <c r="C179" s="4">
        <v>5.55</v>
      </c>
      <c r="D179" s="16">
        <f t="shared" si="17"/>
        <v>5.5500000000000001E-2</v>
      </c>
      <c r="E179" s="17">
        <f t="shared" si="18"/>
        <v>-1.7985611510790145E-3</v>
      </c>
      <c r="F179" s="18">
        <f t="shared" si="14"/>
        <v>-9.9999999999995925E-5</v>
      </c>
      <c r="G179" s="19">
        <f t="shared" si="15"/>
        <v>7.3335813417863015E-7</v>
      </c>
      <c r="H179" s="20">
        <f t="shared" si="16"/>
        <v>-1.0073335813417455E-4</v>
      </c>
      <c r="I179" s="21">
        <f t="shared" si="19"/>
        <v>1874.9695190560535</v>
      </c>
      <c r="J179" s="22">
        <f t="shared" si="20"/>
        <v>7.5363476817689348</v>
      </c>
      <c r="O179" s="4"/>
    </row>
    <row r="180" spans="1:15" x14ac:dyDescent="0.2">
      <c r="A180" s="15">
        <v>179</v>
      </c>
      <c r="B180" s="3">
        <v>45184</v>
      </c>
      <c r="C180" s="4">
        <v>5.56</v>
      </c>
      <c r="D180" s="16">
        <f t="shared" si="17"/>
        <v>5.5599999999999997E-2</v>
      </c>
      <c r="E180" s="17">
        <f t="shared" si="18"/>
        <v>1.8018018018017834E-3</v>
      </c>
      <c r="F180" s="18">
        <f t="shared" si="14"/>
        <v>9.9999999999995925E-5</v>
      </c>
      <c r="G180" s="19">
        <f t="shared" si="15"/>
        <v>7.7396297126722032E-7</v>
      </c>
      <c r="H180" s="20">
        <f t="shared" si="16"/>
        <v>9.9226037028728704E-5</v>
      </c>
      <c r="I180" s="21">
        <f t="shared" si="19"/>
        <v>1883.4445229721407</v>
      </c>
      <c r="J180" s="22">
        <f t="shared" si="20"/>
        <v>7.5408575724759279</v>
      </c>
      <c r="O180" s="4"/>
    </row>
    <row r="181" spans="1:15" x14ac:dyDescent="0.2">
      <c r="A181" s="15">
        <v>180</v>
      </c>
      <c r="B181" s="3">
        <v>45183</v>
      </c>
      <c r="C181" s="4">
        <v>5.55</v>
      </c>
      <c r="D181" s="16">
        <f t="shared" si="17"/>
        <v>5.5500000000000001E-2</v>
      </c>
      <c r="E181" s="17">
        <f t="shared" si="18"/>
        <v>0</v>
      </c>
      <c r="F181" s="18">
        <f t="shared" si="14"/>
        <v>0</v>
      </c>
      <c r="G181" s="19">
        <f t="shared" si="15"/>
        <v>7.7396297126722032E-7</v>
      </c>
      <c r="H181" s="20">
        <f t="shared" si="16"/>
        <v>-7.7396297126722032E-7</v>
      </c>
      <c r="I181" s="21">
        <f t="shared" si="19"/>
        <v>2182.380047143944</v>
      </c>
      <c r="J181" s="22">
        <f t="shared" si="20"/>
        <v>7.6881713249863557</v>
      </c>
      <c r="O181" s="4"/>
    </row>
    <row r="182" spans="1:15" x14ac:dyDescent="0.2">
      <c r="A182" s="15">
        <v>181</v>
      </c>
      <c r="B182" s="3">
        <v>45182</v>
      </c>
      <c r="C182" s="4">
        <v>5.55</v>
      </c>
      <c r="D182" s="16">
        <f t="shared" si="17"/>
        <v>5.5500000000000001E-2</v>
      </c>
      <c r="E182" s="17">
        <f t="shared" si="18"/>
        <v>-1.7985611510790145E-3</v>
      </c>
      <c r="F182" s="18">
        <f t="shared" si="14"/>
        <v>-9.9999999999995925E-5</v>
      </c>
      <c r="G182" s="19">
        <f t="shared" si="15"/>
        <v>7.3335813417863015E-7</v>
      </c>
      <c r="H182" s="20">
        <f t="shared" si="16"/>
        <v>-1.0073335813417455E-4</v>
      </c>
      <c r="I182" s="21">
        <f t="shared" si="19"/>
        <v>1874.9695190560535</v>
      </c>
      <c r="J182" s="22">
        <f t="shared" si="20"/>
        <v>7.5363476817689348</v>
      </c>
      <c r="O182" s="4"/>
    </row>
    <row r="183" spans="1:15" x14ac:dyDescent="0.2">
      <c r="A183" s="15">
        <v>182</v>
      </c>
      <c r="B183" s="3">
        <v>45181</v>
      </c>
      <c r="C183" s="4">
        <v>5.56</v>
      </c>
      <c r="D183" s="16">
        <f t="shared" si="17"/>
        <v>5.5599999999999997E-2</v>
      </c>
      <c r="E183" s="17">
        <f t="shared" si="18"/>
        <v>1.8018018018017834E-3</v>
      </c>
      <c r="F183" s="18">
        <f t="shared" si="14"/>
        <v>9.9999999999995925E-5</v>
      </c>
      <c r="G183" s="19">
        <f t="shared" si="15"/>
        <v>7.7396297126722032E-7</v>
      </c>
      <c r="H183" s="20">
        <f t="shared" si="16"/>
        <v>9.9226037028728704E-5</v>
      </c>
      <c r="I183" s="21">
        <f t="shared" si="19"/>
        <v>1883.4445229721407</v>
      </c>
      <c r="J183" s="22">
        <f t="shared" si="20"/>
        <v>7.5408575724759279</v>
      </c>
      <c r="O183" s="4"/>
    </row>
    <row r="184" spans="1:15" x14ac:dyDescent="0.2">
      <c r="A184" s="15">
        <v>183</v>
      </c>
      <c r="B184" s="3">
        <v>45180</v>
      </c>
      <c r="C184" s="4">
        <v>5.55</v>
      </c>
      <c r="D184" s="16">
        <f t="shared" si="17"/>
        <v>5.5500000000000001E-2</v>
      </c>
      <c r="E184" s="17">
        <f t="shared" si="18"/>
        <v>0</v>
      </c>
      <c r="F184" s="18">
        <f t="shared" si="14"/>
        <v>0</v>
      </c>
      <c r="G184" s="19">
        <f t="shared" si="15"/>
        <v>7.7396297126722032E-7</v>
      </c>
      <c r="H184" s="20">
        <f t="shared" si="16"/>
        <v>-7.7396297126722032E-7</v>
      </c>
      <c r="I184" s="21">
        <f t="shared" si="19"/>
        <v>2182.380047143944</v>
      </c>
      <c r="J184" s="22">
        <f t="shared" si="20"/>
        <v>7.6881713249863557</v>
      </c>
      <c r="O184" s="4"/>
    </row>
    <row r="185" spans="1:15" x14ac:dyDescent="0.2">
      <c r="A185" s="15">
        <v>184</v>
      </c>
      <c r="B185" s="3">
        <v>45177</v>
      </c>
      <c r="C185" s="4">
        <v>5.55</v>
      </c>
      <c r="D185" s="16">
        <f t="shared" si="17"/>
        <v>5.5500000000000001E-2</v>
      </c>
      <c r="E185" s="17">
        <f t="shared" si="18"/>
        <v>3.6166365280290158E-3</v>
      </c>
      <c r="F185" s="18">
        <f t="shared" si="14"/>
        <v>1.9999999999999879E-4</v>
      </c>
      <c r="G185" s="19">
        <f t="shared" si="15"/>
        <v>8.5517264544440353E-7</v>
      </c>
      <c r="H185" s="20">
        <f t="shared" si="16"/>
        <v>1.9914482735455439E-4</v>
      </c>
      <c r="I185" s="21">
        <f t="shared" si="19"/>
        <v>1205.6427071942785</v>
      </c>
      <c r="J185" s="22">
        <f t="shared" si="20"/>
        <v>7.0947680707013587</v>
      </c>
      <c r="O185" s="4"/>
    </row>
    <row r="186" spans="1:15" x14ac:dyDescent="0.2">
      <c r="A186" s="15">
        <v>185</v>
      </c>
      <c r="B186" s="3">
        <v>45176</v>
      </c>
      <c r="C186" s="4">
        <v>5.53</v>
      </c>
      <c r="D186" s="16">
        <f t="shared" si="17"/>
        <v>5.5300000000000002E-2</v>
      </c>
      <c r="E186" s="17">
        <f t="shared" si="18"/>
        <v>-3.6036036036035668E-3</v>
      </c>
      <c r="F186" s="18">
        <f t="shared" si="14"/>
        <v>-1.9999999999999879E-4</v>
      </c>
      <c r="G186" s="19">
        <f t="shared" si="15"/>
        <v>7.7396297126722032E-7</v>
      </c>
      <c r="H186" s="20">
        <f t="shared" si="16"/>
        <v>-2.00773962971266E-4</v>
      </c>
      <c r="I186" s="21">
        <f t="shared" si="19"/>
        <v>1193.9463423308346</v>
      </c>
      <c r="J186" s="22">
        <f t="shared" si="20"/>
        <v>7.0850193535213295</v>
      </c>
      <c r="O186" s="4"/>
    </row>
    <row r="187" spans="1:15" x14ac:dyDescent="0.2">
      <c r="A187" s="15">
        <v>186</v>
      </c>
      <c r="B187" s="3">
        <v>45175</v>
      </c>
      <c r="C187" s="4">
        <v>5.55</v>
      </c>
      <c r="D187" s="16">
        <f t="shared" si="17"/>
        <v>5.5500000000000001E-2</v>
      </c>
      <c r="E187" s="17">
        <f t="shared" si="18"/>
        <v>0</v>
      </c>
      <c r="F187" s="18">
        <f t="shared" si="14"/>
        <v>0</v>
      </c>
      <c r="G187" s="19">
        <f t="shared" si="15"/>
        <v>7.7396297126722032E-7</v>
      </c>
      <c r="H187" s="20">
        <f t="shared" si="16"/>
        <v>-7.7396297126722032E-7</v>
      </c>
      <c r="I187" s="21">
        <f t="shared" si="19"/>
        <v>2182.380047143944</v>
      </c>
      <c r="J187" s="22">
        <f t="shared" si="20"/>
        <v>7.6881713249863557</v>
      </c>
      <c r="O187" s="4"/>
    </row>
    <row r="188" spans="1:15" x14ac:dyDescent="0.2">
      <c r="A188" s="15">
        <v>187</v>
      </c>
      <c r="B188" s="3">
        <v>45174</v>
      </c>
      <c r="C188" s="4">
        <v>5.55</v>
      </c>
      <c r="D188" s="16">
        <f t="shared" si="17"/>
        <v>5.5500000000000001E-2</v>
      </c>
      <c r="E188" s="17">
        <f t="shared" si="18"/>
        <v>3.6166365280290158E-3</v>
      </c>
      <c r="F188" s="18">
        <f t="shared" si="14"/>
        <v>1.9999999999999879E-4</v>
      </c>
      <c r="G188" s="19">
        <f t="shared" si="15"/>
        <v>8.5517264544440353E-7</v>
      </c>
      <c r="H188" s="20">
        <f t="shared" si="16"/>
        <v>1.9914482735455439E-4</v>
      </c>
      <c r="I188" s="21">
        <f t="shared" si="19"/>
        <v>1205.6427071942785</v>
      </c>
      <c r="J188" s="22">
        <f t="shared" si="20"/>
        <v>7.0947680707013587</v>
      </c>
      <c r="O188" s="4"/>
    </row>
    <row r="189" spans="1:15" x14ac:dyDescent="0.2">
      <c r="A189" s="15">
        <v>188</v>
      </c>
      <c r="B189" s="3">
        <v>45170</v>
      </c>
      <c r="C189" s="4">
        <v>5.53</v>
      </c>
      <c r="D189" s="16">
        <f t="shared" si="17"/>
        <v>5.5300000000000002E-2</v>
      </c>
      <c r="E189" s="17">
        <f t="shared" si="18"/>
        <v>-5.3956834532372655E-3</v>
      </c>
      <c r="F189" s="18">
        <f t="shared" si="14"/>
        <v>-2.9999999999999472E-4</v>
      </c>
      <c r="G189" s="19">
        <f t="shared" si="15"/>
        <v>7.3335813417863015E-7</v>
      </c>
      <c r="H189" s="20">
        <f t="shared" si="16"/>
        <v>-3.0073335813417333E-4</v>
      </c>
      <c r="I189" s="21">
        <f t="shared" si="19"/>
        <v>563.9237725116285</v>
      </c>
      <c r="J189" s="22">
        <f t="shared" si="20"/>
        <v>6.3349190872425565</v>
      </c>
      <c r="O189" s="4"/>
    </row>
    <row r="190" spans="1:15" x14ac:dyDescent="0.2">
      <c r="A190" s="15">
        <v>189</v>
      </c>
      <c r="B190" s="3">
        <v>45169</v>
      </c>
      <c r="C190" s="4">
        <v>5.56</v>
      </c>
      <c r="D190" s="16">
        <f t="shared" si="17"/>
        <v>5.5599999999999997E-2</v>
      </c>
      <c r="E190" s="17">
        <f t="shared" si="18"/>
        <v>0</v>
      </c>
      <c r="F190" s="18">
        <f t="shared" si="14"/>
        <v>0</v>
      </c>
      <c r="G190" s="19">
        <f t="shared" si="15"/>
        <v>7.3335813417863015E-7</v>
      </c>
      <c r="H190" s="20">
        <f t="shared" si="16"/>
        <v>-7.3335813417863015E-7</v>
      </c>
      <c r="I190" s="21">
        <f t="shared" si="19"/>
        <v>2182.3820457746551</v>
      </c>
      <c r="J190" s="22">
        <f t="shared" si="20"/>
        <v>7.6881722407891733</v>
      </c>
      <c r="O190" s="4"/>
    </row>
    <row r="191" spans="1:15" x14ac:dyDescent="0.2">
      <c r="A191" s="15">
        <v>190</v>
      </c>
      <c r="B191" s="3">
        <v>45168</v>
      </c>
      <c r="C191" s="4">
        <v>5.56</v>
      </c>
      <c r="D191" s="16">
        <f t="shared" si="17"/>
        <v>5.5599999999999997E-2</v>
      </c>
      <c r="E191" s="17">
        <f t="shared" si="18"/>
        <v>0</v>
      </c>
      <c r="F191" s="18">
        <f t="shared" si="14"/>
        <v>0</v>
      </c>
      <c r="G191" s="19">
        <f t="shared" si="15"/>
        <v>7.3335813417863015E-7</v>
      </c>
      <c r="H191" s="20">
        <f t="shared" si="16"/>
        <v>-7.3335813417863015E-7</v>
      </c>
      <c r="I191" s="21">
        <f t="shared" si="19"/>
        <v>2182.3820457746551</v>
      </c>
      <c r="J191" s="22">
        <f t="shared" si="20"/>
        <v>7.6881722407891733</v>
      </c>
      <c r="O191" s="4"/>
    </row>
    <row r="192" spans="1:15" x14ac:dyDescent="0.2">
      <c r="A192" s="15">
        <v>191</v>
      </c>
      <c r="B192" s="3">
        <v>45167</v>
      </c>
      <c r="C192" s="4">
        <v>5.56</v>
      </c>
      <c r="D192" s="16">
        <f t="shared" si="17"/>
        <v>5.5599999999999997E-2</v>
      </c>
      <c r="E192" s="17">
        <f t="shared" si="18"/>
        <v>-3.5842293906811484E-3</v>
      </c>
      <c r="F192" s="18">
        <f t="shared" si="14"/>
        <v>-2.0000000000000573E-4</v>
      </c>
      <c r="G192" s="19">
        <f t="shared" si="15"/>
        <v>6.5214846000144419E-7</v>
      </c>
      <c r="H192" s="20">
        <f t="shared" si="16"/>
        <v>-2.0065214846000718E-4</v>
      </c>
      <c r="I192" s="21">
        <f t="shared" si="19"/>
        <v>1194.8202524543949</v>
      </c>
      <c r="J192" s="22">
        <f t="shared" si="20"/>
        <v>7.0857510366957817</v>
      </c>
      <c r="O192" s="4"/>
    </row>
    <row r="193" spans="1:15" x14ac:dyDescent="0.2">
      <c r="A193" s="15">
        <v>192</v>
      </c>
      <c r="B193" s="3">
        <v>45166</v>
      </c>
      <c r="C193" s="4">
        <v>5.58</v>
      </c>
      <c r="D193" s="16">
        <f t="shared" si="17"/>
        <v>5.5800000000000002E-2</v>
      </c>
      <c r="E193" s="17">
        <f t="shared" si="18"/>
        <v>-5.3475935828877219E-3</v>
      </c>
      <c r="F193" s="18">
        <f t="shared" si="14"/>
        <v>-3.0000000000000165E-4</v>
      </c>
      <c r="G193" s="19">
        <f t="shared" si="15"/>
        <v>5.3033394873566806E-7</v>
      </c>
      <c r="H193" s="20">
        <f t="shared" si="16"/>
        <v>-3.0053033394873734E-4</v>
      </c>
      <c r="I193" s="21">
        <f t="shared" si="19"/>
        <v>564.95474783846532</v>
      </c>
      <c r="J193" s="22">
        <f t="shared" si="20"/>
        <v>6.3367456356175795</v>
      </c>
      <c r="O193" s="4"/>
    </row>
    <row r="194" spans="1:15" x14ac:dyDescent="0.2">
      <c r="A194" s="15">
        <v>193</v>
      </c>
      <c r="B194" s="3">
        <v>45163</v>
      </c>
      <c r="C194" s="4">
        <v>5.61</v>
      </c>
      <c r="D194" s="16">
        <f t="shared" si="17"/>
        <v>5.6100000000000004E-2</v>
      </c>
      <c r="E194" s="17">
        <f t="shared" si="18"/>
        <v>5.3763440860215006E-3</v>
      </c>
      <c r="F194" s="18">
        <f t="shared" ref="F194:F252" si="21">D194-D195</f>
        <v>3.0000000000000165E-4</v>
      </c>
      <c r="G194" s="19">
        <f t="shared" ref="G194:G252" si="22">$O$2*($O$3-D195)*$O$7</f>
        <v>6.5214846000144419E-7</v>
      </c>
      <c r="H194" s="20">
        <f t="shared" ref="H194:H252" si="23">F194-G194</f>
        <v>2.9934785154000023E-4</v>
      </c>
      <c r="I194" s="21">
        <f t="shared" si="19"/>
        <v>570.98307296639916</v>
      </c>
      <c r="J194" s="22">
        <f t="shared" si="20"/>
        <v>6.3473595646743943</v>
      </c>
      <c r="O194" s="4"/>
    </row>
    <row r="195" spans="1:15" x14ac:dyDescent="0.2">
      <c r="A195" s="15">
        <v>194</v>
      </c>
      <c r="B195" s="3">
        <v>45162</v>
      </c>
      <c r="C195" s="4">
        <v>5.58</v>
      </c>
      <c r="D195" s="16">
        <f t="shared" ref="D195:D253" si="24">C195/100</f>
        <v>5.5800000000000002E-2</v>
      </c>
      <c r="E195" s="17">
        <f t="shared" ref="E195:E252" si="25">(D195/D196-1)</f>
        <v>1.7953321364452268E-3</v>
      </c>
      <c r="F195" s="18">
        <f t="shared" si="21"/>
        <v>1.0000000000000286E-4</v>
      </c>
      <c r="G195" s="19">
        <f t="shared" si="22"/>
        <v>6.9275329709003722E-7</v>
      </c>
      <c r="H195" s="20">
        <f t="shared" si="23"/>
        <v>9.9307246702912822E-5</v>
      </c>
      <c r="I195" s="21">
        <f t="shared" ref="I195:I252" si="26">NORMDIST(H195,0,$O$4,FALSE)</f>
        <v>1882.9902049506154</v>
      </c>
      <c r="J195" s="22">
        <f t="shared" ref="J195:J252" si="27">LN(I195)</f>
        <v>7.540616326811767</v>
      </c>
      <c r="O195" s="4"/>
    </row>
    <row r="196" spans="1:15" x14ac:dyDescent="0.2">
      <c r="A196" s="15">
        <v>195</v>
      </c>
      <c r="B196" s="3">
        <v>45161</v>
      </c>
      <c r="C196" s="4">
        <v>5.57</v>
      </c>
      <c r="D196" s="16">
        <f t="shared" si="24"/>
        <v>5.57E-2</v>
      </c>
      <c r="E196" s="17">
        <f t="shared" si="25"/>
        <v>0</v>
      </c>
      <c r="F196" s="18">
        <f t="shared" si="21"/>
        <v>0</v>
      </c>
      <c r="G196" s="19">
        <f t="shared" si="22"/>
        <v>6.9275329709003722E-7</v>
      </c>
      <c r="H196" s="20">
        <f t="shared" si="23"/>
        <v>-6.9275329709003722E-7</v>
      </c>
      <c r="I196" s="21">
        <f t="shared" si="26"/>
        <v>2182.3839367271758</v>
      </c>
      <c r="J196" s="22">
        <f t="shared" si="27"/>
        <v>7.6881731072514432</v>
      </c>
      <c r="O196" s="4"/>
    </row>
    <row r="197" spans="1:15" x14ac:dyDescent="0.2">
      <c r="A197" s="15">
        <v>196</v>
      </c>
      <c r="B197" s="3">
        <v>45160</v>
      </c>
      <c r="C197" s="4">
        <v>5.57</v>
      </c>
      <c r="D197" s="16">
        <f t="shared" si="24"/>
        <v>5.57E-2</v>
      </c>
      <c r="E197" s="17">
        <f t="shared" si="25"/>
        <v>0</v>
      </c>
      <c r="F197" s="18">
        <f t="shared" si="21"/>
        <v>0</v>
      </c>
      <c r="G197" s="19">
        <f t="shared" si="22"/>
        <v>6.9275329709003722E-7</v>
      </c>
      <c r="H197" s="20">
        <f t="shared" si="23"/>
        <v>-6.9275329709003722E-7</v>
      </c>
      <c r="I197" s="21">
        <f t="shared" si="26"/>
        <v>2182.3839367271758</v>
      </c>
      <c r="J197" s="22">
        <f t="shared" si="27"/>
        <v>7.6881731072514432</v>
      </c>
      <c r="O197" s="4"/>
    </row>
    <row r="198" spans="1:15" x14ac:dyDescent="0.2">
      <c r="A198" s="15">
        <v>197</v>
      </c>
      <c r="B198" s="3">
        <v>45159</v>
      </c>
      <c r="C198" s="4">
        <v>5.57</v>
      </c>
      <c r="D198" s="16">
        <f t="shared" si="24"/>
        <v>5.57E-2</v>
      </c>
      <c r="E198" s="17">
        <f t="shared" si="25"/>
        <v>3.6036036036035668E-3</v>
      </c>
      <c r="F198" s="18">
        <f t="shared" si="21"/>
        <v>1.9999999999999879E-4</v>
      </c>
      <c r="G198" s="19">
        <f t="shared" si="22"/>
        <v>7.7396297126722032E-7</v>
      </c>
      <c r="H198" s="20">
        <f t="shared" si="23"/>
        <v>1.9922603702873158E-4</v>
      </c>
      <c r="I198" s="21">
        <f t="shared" si="26"/>
        <v>1205.0592254526466</v>
      </c>
      <c r="J198" s="22">
        <f t="shared" si="27"/>
        <v>7.0942839944701799</v>
      </c>
      <c r="O198" s="4"/>
    </row>
    <row r="199" spans="1:15" x14ac:dyDescent="0.2">
      <c r="A199" s="15">
        <v>198</v>
      </c>
      <c r="B199" s="3">
        <v>45156</v>
      </c>
      <c r="C199" s="4">
        <v>5.55</v>
      </c>
      <c r="D199" s="16">
        <f t="shared" si="24"/>
        <v>5.5500000000000001E-2</v>
      </c>
      <c r="E199" s="17">
        <f t="shared" si="25"/>
        <v>-1.7985611510790145E-3</v>
      </c>
      <c r="F199" s="18">
        <f t="shared" si="21"/>
        <v>-9.9999999999995925E-5</v>
      </c>
      <c r="G199" s="19">
        <f t="shared" si="22"/>
        <v>7.3335813417863015E-7</v>
      </c>
      <c r="H199" s="20">
        <f t="shared" si="23"/>
        <v>-1.0073335813417455E-4</v>
      </c>
      <c r="I199" s="21">
        <f t="shared" si="26"/>
        <v>1874.9695190560535</v>
      </c>
      <c r="J199" s="22">
        <f t="shared" si="27"/>
        <v>7.5363476817689348</v>
      </c>
      <c r="O199" s="4"/>
    </row>
    <row r="200" spans="1:15" x14ac:dyDescent="0.2">
      <c r="A200" s="15">
        <v>199</v>
      </c>
      <c r="B200" s="3">
        <v>45155</v>
      </c>
      <c r="C200" s="4">
        <v>5.56</v>
      </c>
      <c r="D200" s="16">
        <f t="shared" si="24"/>
        <v>5.5599999999999997E-2</v>
      </c>
      <c r="E200" s="17">
        <f t="shared" si="25"/>
        <v>0</v>
      </c>
      <c r="F200" s="18">
        <f t="shared" si="21"/>
        <v>0</v>
      </c>
      <c r="G200" s="19">
        <f t="shared" si="22"/>
        <v>7.3335813417863015E-7</v>
      </c>
      <c r="H200" s="20">
        <f t="shared" si="23"/>
        <v>-7.3335813417863015E-7</v>
      </c>
      <c r="I200" s="21">
        <f t="shared" si="26"/>
        <v>2182.3820457746551</v>
      </c>
      <c r="J200" s="22">
        <f t="shared" si="27"/>
        <v>7.6881722407891733</v>
      </c>
      <c r="O200" s="4"/>
    </row>
    <row r="201" spans="1:15" x14ac:dyDescent="0.2">
      <c r="A201" s="15">
        <v>200</v>
      </c>
      <c r="B201" s="3">
        <v>45154</v>
      </c>
      <c r="C201" s="4">
        <v>5.56</v>
      </c>
      <c r="D201" s="16">
        <f t="shared" si="24"/>
        <v>5.5599999999999997E-2</v>
      </c>
      <c r="E201" s="17">
        <f t="shared" si="25"/>
        <v>0</v>
      </c>
      <c r="F201" s="18">
        <f t="shared" si="21"/>
        <v>0</v>
      </c>
      <c r="G201" s="19">
        <f t="shared" si="22"/>
        <v>7.3335813417863015E-7</v>
      </c>
      <c r="H201" s="20">
        <f t="shared" si="23"/>
        <v>-7.3335813417863015E-7</v>
      </c>
      <c r="I201" s="21">
        <f t="shared" si="26"/>
        <v>2182.3820457746551</v>
      </c>
      <c r="J201" s="22">
        <f t="shared" si="27"/>
        <v>7.6881722407891733</v>
      </c>
      <c r="O201" s="4"/>
    </row>
    <row r="202" spans="1:15" x14ac:dyDescent="0.2">
      <c r="A202" s="15">
        <v>201</v>
      </c>
      <c r="B202" s="3">
        <v>45153</v>
      </c>
      <c r="C202" s="4">
        <v>5.56</v>
      </c>
      <c r="D202" s="16">
        <f t="shared" si="24"/>
        <v>5.5599999999999997E-2</v>
      </c>
      <c r="E202" s="17">
        <f t="shared" si="25"/>
        <v>0</v>
      </c>
      <c r="F202" s="18">
        <f t="shared" si="21"/>
        <v>0</v>
      </c>
      <c r="G202" s="19">
        <f t="shared" si="22"/>
        <v>7.3335813417863015E-7</v>
      </c>
      <c r="H202" s="20">
        <f t="shared" si="23"/>
        <v>-7.3335813417863015E-7</v>
      </c>
      <c r="I202" s="21">
        <f t="shared" si="26"/>
        <v>2182.3820457746551</v>
      </c>
      <c r="J202" s="22">
        <f t="shared" si="27"/>
        <v>7.6881722407891733</v>
      </c>
      <c r="O202" s="4"/>
    </row>
    <row r="203" spans="1:15" x14ac:dyDescent="0.2">
      <c r="A203" s="15">
        <v>202</v>
      </c>
      <c r="B203" s="3">
        <v>45152</v>
      </c>
      <c r="C203" s="4">
        <v>5.56</v>
      </c>
      <c r="D203" s="16">
        <f t="shared" si="24"/>
        <v>5.5599999999999997E-2</v>
      </c>
      <c r="E203" s="17">
        <f t="shared" si="25"/>
        <v>3.6101083032491488E-3</v>
      </c>
      <c r="F203" s="18">
        <f t="shared" si="21"/>
        <v>1.9999999999999879E-4</v>
      </c>
      <c r="G203" s="19">
        <f t="shared" si="22"/>
        <v>8.1456780835581335E-7</v>
      </c>
      <c r="H203" s="20">
        <f t="shared" si="23"/>
        <v>1.9918543219164299E-4</v>
      </c>
      <c r="I203" s="21">
        <f t="shared" si="26"/>
        <v>1205.3509607535955</v>
      </c>
      <c r="J203" s="22">
        <f t="shared" si="27"/>
        <v>7.0945260572560427</v>
      </c>
      <c r="O203" s="4"/>
    </row>
    <row r="204" spans="1:15" x14ac:dyDescent="0.2">
      <c r="A204" s="15">
        <v>203</v>
      </c>
      <c r="B204" s="3">
        <v>45149</v>
      </c>
      <c r="C204" s="4">
        <v>5.54</v>
      </c>
      <c r="D204" s="16">
        <f t="shared" si="24"/>
        <v>5.5399999999999998E-2</v>
      </c>
      <c r="E204" s="17">
        <f t="shared" si="25"/>
        <v>0</v>
      </c>
      <c r="F204" s="18">
        <f t="shared" si="21"/>
        <v>0</v>
      </c>
      <c r="G204" s="19">
        <f t="shared" si="22"/>
        <v>8.1456780835581335E-7</v>
      </c>
      <c r="H204" s="20">
        <f t="shared" si="23"/>
        <v>-8.1456780835581335E-7</v>
      </c>
      <c r="I204" s="21">
        <f t="shared" si="26"/>
        <v>2182.3779408353389</v>
      </c>
      <c r="J204" s="22">
        <f t="shared" si="27"/>
        <v>7.6881703598429914</v>
      </c>
      <c r="O204" s="4"/>
    </row>
    <row r="205" spans="1:15" x14ac:dyDescent="0.2">
      <c r="A205" s="15">
        <v>204</v>
      </c>
      <c r="B205" s="3">
        <v>45148</v>
      </c>
      <c r="C205" s="4">
        <v>5.54</v>
      </c>
      <c r="D205" s="16">
        <f t="shared" si="24"/>
        <v>5.5399999999999998E-2</v>
      </c>
      <c r="E205" s="17">
        <f t="shared" si="25"/>
        <v>-1.8018018018018944E-3</v>
      </c>
      <c r="F205" s="18">
        <f t="shared" si="21"/>
        <v>-1.0000000000000286E-4</v>
      </c>
      <c r="G205" s="19">
        <f t="shared" si="22"/>
        <v>7.7396297126722032E-7</v>
      </c>
      <c r="H205" s="20">
        <f t="shared" si="23"/>
        <v>-1.0077396297127009E-4</v>
      </c>
      <c r="I205" s="21">
        <f t="shared" si="26"/>
        <v>1874.7399810252857</v>
      </c>
      <c r="J205" s="22">
        <f t="shared" si="27"/>
        <v>7.5362252520014819</v>
      </c>
      <c r="O205" s="4"/>
    </row>
    <row r="206" spans="1:15" x14ac:dyDescent="0.2">
      <c r="A206" s="15">
        <v>205</v>
      </c>
      <c r="B206" s="3">
        <v>45147</v>
      </c>
      <c r="C206" s="4">
        <v>5.55</v>
      </c>
      <c r="D206" s="16">
        <f t="shared" si="24"/>
        <v>5.5500000000000001E-2</v>
      </c>
      <c r="E206" s="17">
        <f t="shared" si="25"/>
        <v>-3.5906642728904536E-3</v>
      </c>
      <c r="F206" s="18">
        <f t="shared" si="21"/>
        <v>-1.9999999999999879E-4</v>
      </c>
      <c r="G206" s="19">
        <f t="shared" si="22"/>
        <v>6.9275329709003722E-7</v>
      </c>
      <c r="H206" s="20">
        <f t="shared" si="23"/>
        <v>-2.0069275329708883E-4</v>
      </c>
      <c r="I206" s="21">
        <f t="shared" si="26"/>
        <v>1194.5289369684715</v>
      </c>
      <c r="J206" s="22">
        <f t="shared" si="27"/>
        <v>7.0855071916448731</v>
      </c>
      <c r="O206" s="4"/>
    </row>
    <row r="207" spans="1:15" x14ac:dyDescent="0.2">
      <c r="A207" s="15">
        <v>206</v>
      </c>
      <c r="B207" s="3">
        <v>45146</v>
      </c>
      <c r="C207" s="4">
        <v>5.57</v>
      </c>
      <c r="D207" s="16">
        <f t="shared" si="24"/>
        <v>5.57E-2</v>
      </c>
      <c r="E207" s="17">
        <f t="shared" si="25"/>
        <v>1.7985611510791255E-3</v>
      </c>
      <c r="F207" s="18">
        <f t="shared" si="21"/>
        <v>1.0000000000000286E-4</v>
      </c>
      <c r="G207" s="19">
        <f t="shared" si="22"/>
        <v>7.3335813417863015E-7</v>
      </c>
      <c r="H207" s="20">
        <f t="shared" si="23"/>
        <v>9.9266641865824239E-5</v>
      </c>
      <c r="I207" s="21">
        <f t="shared" si="26"/>
        <v>1883.2173967205651</v>
      </c>
      <c r="J207" s="22">
        <f t="shared" si="27"/>
        <v>7.5407369743141111</v>
      </c>
      <c r="O207" s="4"/>
    </row>
    <row r="208" spans="1:15" x14ac:dyDescent="0.2">
      <c r="A208" s="15">
        <v>207</v>
      </c>
      <c r="B208" s="3">
        <v>45145</v>
      </c>
      <c r="C208" s="4">
        <v>5.56</v>
      </c>
      <c r="D208" s="16">
        <f t="shared" si="24"/>
        <v>5.5599999999999997E-2</v>
      </c>
      <c r="E208" s="17">
        <f t="shared" si="25"/>
        <v>3.6101083032491488E-3</v>
      </c>
      <c r="F208" s="18">
        <f t="shared" si="21"/>
        <v>1.9999999999999879E-4</v>
      </c>
      <c r="G208" s="19">
        <f t="shared" si="22"/>
        <v>8.1456780835581335E-7</v>
      </c>
      <c r="H208" s="20">
        <f t="shared" si="23"/>
        <v>1.9918543219164299E-4</v>
      </c>
      <c r="I208" s="21">
        <f t="shared" si="26"/>
        <v>1205.3509607535955</v>
      </c>
      <c r="J208" s="22">
        <f t="shared" si="27"/>
        <v>7.0945260572560427</v>
      </c>
      <c r="O208" s="4"/>
    </row>
    <row r="209" spans="1:15" x14ac:dyDescent="0.2">
      <c r="A209" s="15">
        <v>208</v>
      </c>
      <c r="B209" s="3">
        <v>45142</v>
      </c>
      <c r="C209" s="4">
        <v>5.54</v>
      </c>
      <c r="D209" s="16">
        <f t="shared" si="24"/>
        <v>5.5399999999999998E-2</v>
      </c>
      <c r="E209" s="17">
        <f t="shared" si="25"/>
        <v>0</v>
      </c>
      <c r="F209" s="18">
        <f t="shared" si="21"/>
        <v>0</v>
      </c>
      <c r="G209" s="19">
        <f t="shared" si="22"/>
        <v>8.1456780835581335E-7</v>
      </c>
      <c r="H209" s="20">
        <f t="shared" si="23"/>
        <v>-8.1456780835581335E-7</v>
      </c>
      <c r="I209" s="21">
        <f t="shared" si="26"/>
        <v>2182.3779408353389</v>
      </c>
      <c r="J209" s="22">
        <f t="shared" si="27"/>
        <v>7.6881703598429914</v>
      </c>
      <c r="O209" s="4"/>
    </row>
    <row r="210" spans="1:15" x14ac:dyDescent="0.2">
      <c r="A210" s="15">
        <v>209</v>
      </c>
      <c r="B210" s="3">
        <v>45141</v>
      </c>
      <c r="C210" s="4">
        <v>5.54</v>
      </c>
      <c r="D210" s="16">
        <f t="shared" si="24"/>
        <v>5.5399999999999998E-2</v>
      </c>
      <c r="E210" s="17">
        <f t="shared" si="25"/>
        <v>1.8083182640142859E-3</v>
      </c>
      <c r="F210" s="18">
        <f t="shared" si="21"/>
        <v>9.9999999999995925E-5</v>
      </c>
      <c r="G210" s="19">
        <f t="shared" si="22"/>
        <v>8.5517264544440353E-7</v>
      </c>
      <c r="H210" s="20">
        <f t="shared" si="23"/>
        <v>9.9144827354551526E-5</v>
      </c>
      <c r="I210" s="21">
        <f t="shared" si="26"/>
        <v>1883.8985787987169</v>
      </c>
      <c r="J210" s="22">
        <f t="shared" si="27"/>
        <v>7.5410986207778796</v>
      </c>
      <c r="O210" s="4"/>
    </row>
    <row r="211" spans="1:15" x14ac:dyDescent="0.2">
      <c r="A211" s="15">
        <v>210</v>
      </c>
      <c r="B211" s="3">
        <v>45140</v>
      </c>
      <c r="C211" s="4">
        <v>5.53</v>
      </c>
      <c r="D211" s="16">
        <f t="shared" si="24"/>
        <v>5.5300000000000002E-2</v>
      </c>
      <c r="E211" s="17">
        <f t="shared" si="25"/>
        <v>-1.8050541516244634E-3</v>
      </c>
      <c r="F211" s="18">
        <f t="shared" si="21"/>
        <v>-9.9999999999995925E-5</v>
      </c>
      <c r="G211" s="19">
        <f t="shared" si="22"/>
        <v>8.1456780835581335E-7</v>
      </c>
      <c r="H211" s="20">
        <f t="shared" si="23"/>
        <v>-1.0081456780835174E-4</v>
      </c>
      <c r="I211" s="21">
        <f t="shared" si="26"/>
        <v>1874.5103786057937</v>
      </c>
      <c r="J211" s="22">
        <f t="shared" si="27"/>
        <v>7.5361027728935248</v>
      </c>
      <c r="O211" s="4"/>
    </row>
    <row r="212" spans="1:15" x14ac:dyDescent="0.2">
      <c r="A212" s="15">
        <v>211</v>
      </c>
      <c r="B212" s="3">
        <v>45139</v>
      </c>
      <c r="C212" s="4">
        <v>5.54</v>
      </c>
      <c r="D212" s="16">
        <f t="shared" si="24"/>
        <v>5.5399999999999998E-2</v>
      </c>
      <c r="E212" s="17">
        <f t="shared" si="25"/>
        <v>-1.8018018018018944E-3</v>
      </c>
      <c r="F212" s="18">
        <f t="shared" si="21"/>
        <v>-1.0000000000000286E-4</v>
      </c>
      <c r="G212" s="19">
        <f t="shared" si="22"/>
        <v>7.7396297126722032E-7</v>
      </c>
      <c r="H212" s="20">
        <f t="shared" si="23"/>
        <v>-1.0077396297127009E-4</v>
      </c>
      <c r="I212" s="21">
        <f t="shared" si="26"/>
        <v>1874.7399810252857</v>
      </c>
      <c r="J212" s="22">
        <f t="shared" si="27"/>
        <v>7.5362252520014819</v>
      </c>
      <c r="O212" s="4"/>
    </row>
    <row r="213" spans="1:15" x14ac:dyDescent="0.2">
      <c r="A213" s="15">
        <v>212</v>
      </c>
      <c r="B213" s="3">
        <v>45138</v>
      </c>
      <c r="C213" s="4">
        <v>5.55</v>
      </c>
      <c r="D213" s="16">
        <f t="shared" si="24"/>
        <v>5.5500000000000001E-2</v>
      </c>
      <c r="E213" s="17">
        <f t="shared" si="25"/>
        <v>5.4347826086957873E-3</v>
      </c>
      <c r="F213" s="18">
        <f t="shared" si="21"/>
        <v>3.0000000000000165E-4</v>
      </c>
      <c r="G213" s="19">
        <f t="shared" si="22"/>
        <v>8.9577748253299656E-7</v>
      </c>
      <c r="H213" s="20">
        <f t="shared" si="23"/>
        <v>2.9910422251746866E-4</v>
      </c>
      <c r="I213" s="21">
        <f t="shared" si="26"/>
        <v>572.23009426729004</v>
      </c>
      <c r="J213" s="22">
        <f t="shared" si="27"/>
        <v>6.3495411731988991</v>
      </c>
      <c r="O213" s="4"/>
    </row>
    <row r="214" spans="1:15" x14ac:dyDescent="0.2">
      <c r="A214" s="15">
        <v>213</v>
      </c>
      <c r="B214" s="3">
        <v>45135</v>
      </c>
      <c r="C214" s="4">
        <v>5.52</v>
      </c>
      <c r="D214" s="16">
        <f t="shared" si="24"/>
        <v>5.5199999999999999E-2</v>
      </c>
      <c r="E214" s="17">
        <f t="shared" si="25"/>
        <v>1.8148820326679971E-3</v>
      </c>
      <c r="F214" s="18">
        <f t="shared" si="21"/>
        <v>1.0000000000000286E-4</v>
      </c>
      <c r="G214" s="19">
        <f t="shared" si="22"/>
        <v>9.3638231962158948E-7</v>
      </c>
      <c r="H214" s="20">
        <f t="shared" si="23"/>
        <v>9.9063617680381273E-5</v>
      </c>
      <c r="I214" s="21">
        <f t="shared" si="26"/>
        <v>1884.352372187886</v>
      </c>
      <c r="J214" s="22">
        <f t="shared" si="27"/>
        <v>7.5413394717176203</v>
      </c>
      <c r="O214" s="4"/>
    </row>
    <row r="215" spans="1:15" x14ac:dyDescent="0.2">
      <c r="A215" s="15">
        <v>214</v>
      </c>
      <c r="B215" s="3">
        <v>45134</v>
      </c>
      <c r="C215" s="4">
        <v>5.51</v>
      </c>
      <c r="D215" s="16">
        <f t="shared" si="24"/>
        <v>5.5099999999999996E-2</v>
      </c>
      <c r="E215" s="17">
        <f t="shared" si="25"/>
        <v>0</v>
      </c>
      <c r="F215" s="18">
        <f t="shared" si="21"/>
        <v>0</v>
      </c>
      <c r="G215" s="19">
        <f t="shared" si="22"/>
        <v>9.3638231962158948E-7</v>
      </c>
      <c r="H215" s="20">
        <f t="shared" si="23"/>
        <v>-9.3638231962158948E-7</v>
      </c>
      <c r="I215" s="21">
        <f t="shared" si="26"/>
        <v>2182.3709758453533</v>
      </c>
      <c r="J215" s="22">
        <f t="shared" si="27"/>
        <v>7.6881671683696124</v>
      </c>
      <c r="O215" s="4"/>
    </row>
    <row r="216" spans="1:15" x14ac:dyDescent="0.2">
      <c r="A216" s="15">
        <v>215</v>
      </c>
      <c r="B216" s="3">
        <v>45133</v>
      </c>
      <c r="C216" s="4">
        <v>5.51</v>
      </c>
      <c r="D216" s="16">
        <f t="shared" si="24"/>
        <v>5.5099999999999996E-2</v>
      </c>
      <c r="E216" s="17">
        <f t="shared" si="25"/>
        <v>0</v>
      </c>
      <c r="F216" s="18">
        <f t="shared" si="21"/>
        <v>0</v>
      </c>
      <c r="G216" s="19">
        <f t="shared" si="22"/>
        <v>9.3638231962158948E-7</v>
      </c>
      <c r="H216" s="20">
        <f t="shared" si="23"/>
        <v>-9.3638231962158948E-7</v>
      </c>
      <c r="I216" s="21">
        <f t="shared" si="26"/>
        <v>2182.3709758453533</v>
      </c>
      <c r="J216" s="22">
        <f t="shared" si="27"/>
        <v>7.6881671683696124</v>
      </c>
      <c r="O216" s="4"/>
    </row>
    <row r="217" spans="1:15" x14ac:dyDescent="0.2">
      <c r="A217" s="15">
        <v>216</v>
      </c>
      <c r="B217" s="3">
        <v>45132</v>
      </c>
      <c r="C217" s="4">
        <v>5.51</v>
      </c>
      <c r="D217" s="16">
        <f t="shared" si="24"/>
        <v>5.5099999999999996E-2</v>
      </c>
      <c r="E217" s="17">
        <f t="shared" si="25"/>
        <v>0</v>
      </c>
      <c r="F217" s="18">
        <f t="shared" si="21"/>
        <v>0</v>
      </c>
      <c r="G217" s="19">
        <f t="shared" si="22"/>
        <v>9.3638231962158948E-7</v>
      </c>
      <c r="H217" s="20">
        <f t="shared" si="23"/>
        <v>-9.3638231962158948E-7</v>
      </c>
      <c r="I217" s="21">
        <f t="shared" si="26"/>
        <v>2182.3709758453533</v>
      </c>
      <c r="J217" s="22">
        <f t="shared" si="27"/>
        <v>7.6881671683696124</v>
      </c>
      <c r="O217" s="4"/>
    </row>
    <row r="218" spans="1:15" x14ac:dyDescent="0.2">
      <c r="A218" s="15">
        <v>217</v>
      </c>
      <c r="B218" s="3">
        <v>45131</v>
      </c>
      <c r="C218" s="4">
        <v>5.51</v>
      </c>
      <c r="D218" s="16">
        <f t="shared" si="24"/>
        <v>5.5099999999999996E-2</v>
      </c>
      <c r="E218" s="17">
        <f t="shared" si="25"/>
        <v>1.8181818181817189E-3</v>
      </c>
      <c r="F218" s="18">
        <f t="shared" si="21"/>
        <v>9.9999999999995925E-5</v>
      </c>
      <c r="G218" s="19">
        <f t="shared" si="22"/>
        <v>9.7698715671017966E-7</v>
      </c>
      <c r="H218" s="20">
        <f t="shared" si="23"/>
        <v>9.9023012843285751E-5</v>
      </c>
      <c r="I218" s="21">
        <f t="shared" si="26"/>
        <v>1884.5791703927737</v>
      </c>
      <c r="J218" s="22">
        <f t="shared" si="27"/>
        <v>7.5414598231767007</v>
      </c>
      <c r="O218" s="4"/>
    </row>
    <row r="219" spans="1:15" x14ac:dyDescent="0.2">
      <c r="A219" s="15">
        <v>218</v>
      </c>
      <c r="B219" s="3">
        <v>45128</v>
      </c>
      <c r="C219" s="4">
        <v>5.5</v>
      </c>
      <c r="D219" s="16">
        <f t="shared" si="24"/>
        <v>5.5E-2</v>
      </c>
      <c r="E219" s="17">
        <f t="shared" si="25"/>
        <v>1.8214936247722413E-3</v>
      </c>
      <c r="F219" s="18">
        <f t="shared" si="21"/>
        <v>9.9999999999995925E-5</v>
      </c>
      <c r="G219" s="19">
        <f t="shared" si="22"/>
        <v>1.0175919937987699E-6</v>
      </c>
      <c r="H219" s="20">
        <f t="shared" si="23"/>
        <v>9.8982408006197155E-5</v>
      </c>
      <c r="I219" s="21">
        <f t="shared" si="26"/>
        <v>1884.8059028974033</v>
      </c>
      <c r="J219" s="22">
        <f t="shared" si="27"/>
        <v>7.541580125295213</v>
      </c>
      <c r="O219" s="4"/>
    </row>
    <row r="220" spans="1:15" x14ac:dyDescent="0.2">
      <c r="A220" s="15">
        <v>219</v>
      </c>
      <c r="B220" s="3">
        <v>45127</v>
      </c>
      <c r="C220" s="4">
        <v>5.49</v>
      </c>
      <c r="D220" s="16">
        <f t="shared" si="24"/>
        <v>5.4900000000000004E-2</v>
      </c>
      <c r="E220" s="17">
        <f t="shared" si="25"/>
        <v>0</v>
      </c>
      <c r="F220" s="18">
        <f t="shared" si="21"/>
        <v>0</v>
      </c>
      <c r="G220" s="19">
        <f t="shared" si="22"/>
        <v>1.0175919937987699E-6</v>
      </c>
      <c r="H220" s="20">
        <f t="shared" si="23"/>
        <v>-1.0175919937987699E-6</v>
      </c>
      <c r="I220" s="21">
        <f t="shared" si="26"/>
        <v>2182.3657941353649</v>
      </c>
      <c r="J220" s="22">
        <f t="shared" si="27"/>
        <v>7.6881647940179567</v>
      </c>
      <c r="O220" s="4"/>
    </row>
    <row r="221" spans="1:15" x14ac:dyDescent="0.2">
      <c r="A221" s="15">
        <v>220</v>
      </c>
      <c r="B221" s="3">
        <v>45126</v>
      </c>
      <c r="C221" s="4">
        <v>5.49</v>
      </c>
      <c r="D221" s="16">
        <f t="shared" si="24"/>
        <v>5.4900000000000004E-2</v>
      </c>
      <c r="E221" s="17">
        <f t="shared" si="25"/>
        <v>0</v>
      </c>
      <c r="F221" s="18">
        <f t="shared" si="21"/>
        <v>0</v>
      </c>
      <c r="G221" s="19">
        <f t="shared" si="22"/>
        <v>1.0175919937987699E-6</v>
      </c>
      <c r="H221" s="20">
        <f t="shared" si="23"/>
        <v>-1.0175919937987699E-6</v>
      </c>
      <c r="I221" s="21">
        <f t="shared" si="26"/>
        <v>2182.3657941353649</v>
      </c>
      <c r="J221" s="22">
        <f t="shared" si="27"/>
        <v>7.6881647940179567</v>
      </c>
      <c r="O221" s="4"/>
    </row>
    <row r="222" spans="1:15" x14ac:dyDescent="0.2">
      <c r="A222" s="15">
        <v>221</v>
      </c>
      <c r="B222" s="3">
        <v>45125</v>
      </c>
      <c r="C222" s="4">
        <v>5.49</v>
      </c>
      <c r="D222" s="16">
        <f t="shared" si="24"/>
        <v>5.4900000000000004E-2</v>
      </c>
      <c r="E222" s="17">
        <f t="shared" si="25"/>
        <v>0</v>
      </c>
      <c r="F222" s="18">
        <f t="shared" si="21"/>
        <v>0</v>
      </c>
      <c r="G222" s="19">
        <f t="shared" si="22"/>
        <v>1.0175919937987699E-6</v>
      </c>
      <c r="H222" s="20">
        <f t="shared" si="23"/>
        <v>-1.0175919937987699E-6</v>
      </c>
      <c r="I222" s="21">
        <f t="shared" si="26"/>
        <v>2182.3657941353649</v>
      </c>
      <c r="J222" s="22">
        <f t="shared" si="27"/>
        <v>7.6881647940179567</v>
      </c>
      <c r="O222" s="4"/>
    </row>
    <row r="223" spans="1:15" x14ac:dyDescent="0.2">
      <c r="A223" s="15">
        <v>222</v>
      </c>
      <c r="B223" s="3">
        <v>45124</v>
      </c>
      <c r="C223" s="4">
        <v>5.49</v>
      </c>
      <c r="D223" s="16">
        <f t="shared" si="24"/>
        <v>5.4900000000000004E-2</v>
      </c>
      <c r="E223" s="17">
        <f t="shared" si="25"/>
        <v>0</v>
      </c>
      <c r="F223" s="18">
        <f t="shared" si="21"/>
        <v>0</v>
      </c>
      <c r="G223" s="19">
        <f t="shared" si="22"/>
        <v>1.0175919937987699E-6</v>
      </c>
      <c r="H223" s="20">
        <f t="shared" si="23"/>
        <v>-1.0175919937987699E-6</v>
      </c>
      <c r="I223" s="21">
        <f t="shared" si="26"/>
        <v>2182.3657941353649</v>
      </c>
      <c r="J223" s="22">
        <f t="shared" si="27"/>
        <v>7.6881647940179567</v>
      </c>
      <c r="O223" s="4"/>
    </row>
    <row r="224" spans="1:15" x14ac:dyDescent="0.2">
      <c r="A224" s="15">
        <v>223</v>
      </c>
      <c r="B224" s="3">
        <v>45121</v>
      </c>
      <c r="C224" s="4">
        <v>5.49</v>
      </c>
      <c r="D224" s="16">
        <f t="shared" si="24"/>
        <v>5.4900000000000004E-2</v>
      </c>
      <c r="E224" s="17">
        <f t="shared" si="25"/>
        <v>3.6563071297990302E-3</v>
      </c>
      <c r="F224" s="18">
        <f t="shared" si="21"/>
        <v>2.0000000000000573E-4</v>
      </c>
      <c r="G224" s="19">
        <f t="shared" si="22"/>
        <v>1.0988016679759558E-6</v>
      </c>
      <c r="H224" s="20">
        <f t="shared" si="23"/>
        <v>1.9890119833202978E-4</v>
      </c>
      <c r="I224" s="21">
        <f t="shared" si="26"/>
        <v>1207.3934183107688</v>
      </c>
      <c r="J224" s="22">
        <f t="shared" si="27"/>
        <v>7.096219115221718</v>
      </c>
      <c r="O224" s="4"/>
    </row>
    <row r="225" spans="1:15" x14ac:dyDescent="0.2">
      <c r="A225" s="15">
        <v>224</v>
      </c>
      <c r="B225" s="3">
        <v>45120</v>
      </c>
      <c r="C225" s="4">
        <v>5.47</v>
      </c>
      <c r="D225" s="16">
        <f t="shared" si="24"/>
        <v>5.4699999999999999E-2</v>
      </c>
      <c r="E225" s="17">
        <f t="shared" si="25"/>
        <v>0</v>
      </c>
      <c r="F225" s="18">
        <f t="shared" si="21"/>
        <v>0</v>
      </c>
      <c r="G225" s="19">
        <f t="shared" si="22"/>
        <v>1.0988016679759558E-6</v>
      </c>
      <c r="H225" s="20">
        <f t="shared" si="23"/>
        <v>-1.0988016679759558E-6</v>
      </c>
      <c r="I225" s="21">
        <f t="shared" si="26"/>
        <v>2182.3601817222534</v>
      </c>
      <c r="J225" s="22">
        <f t="shared" si="27"/>
        <v>7.6881622223041113</v>
      </c>
      <c r="O225" s="4"/>
    </row>
    <row r="226" spans="1:15" x14ac:dyDescent="0.2">
      <c r="A226" s="15">
        <v>225</v>
      </c>
      <c r="B226" s="3">
        <v>45119</v>
      </c>
      <c r="C226" s="4">
        <v>5.47</v>
      </c>
      <c r="D226" s="16">
        <f t="shared" si="24"/>
        <v>5.4699999999999999E-2</v>
      </c>
      <c r="E226" s="17">
        <f t="shared" si="25"/>
        <v>-3.6429872495447047E-3</v>
      </c>
      <c r="F226" s="18">
        <f t="shared" si="21"/>
        <v>-2.0000000000000573E-4</v>
      </c>
      <c r="G226" s="19">
        <f t="shared" si="22"/>
        <v>1.0175919937987699E-6</v>
      </c>
      <c r="H226" s="20">
        <f t="shared" si="23"/>
        <v>-2.0101759199380449E-4</v>
      </c>
      <c r="I226" s="21">
        <f t="shared" si="26"/>
        <v>1192.1988509482928</v>
      </c>
      <c r="J226" s="22">
        <f t="shared" si="27"/>
        <v>7.0835546549775215</v>
      </c>
      <c r="O226" s="4"/>
    </row>
    <row r="227" spans="1:15" x14ac:dyDescent="0.2">
      <c r="A227" s="15">
        <v>226</v>
      </c>
      <c r="B227" s="3">
        <v>45118</v>
      </c>
      <c r="C227" s="4">
        <v>5.49</v>
      </c>
      <c r="D227" s="16">
        <f t="shared" si="24"/>
        <v>5.4900000000000004E-2</v>
      </c>
      <c r="E227" s="17">
        <f t="shared" si="25"/>
        <v>1.8248175182482562E-3</v>
      </c>
      <c r="F227" s="18">
        <f t="shared" si="21"/>
        <v>1.0000000000000286E-4</v>
      </c>
      <c r="G227" s="19">
        <f t="shared" si="22"/>
        <v>1.0581968308873628E-6</v>
      </c>
      <c r="H227" s="20">
        <f t="shared" si="23"/>
        <v>9.8941803169115498E-5</v>
      </c>
      <c r="I227" s="21">
        <f t="shared" si="26"/>
        <v>1885.0325696714942</v>
      </c>
      <c r="J227" s="22">
        <f t="shared" si="27"/>
        <v>7.5417003780731573</v>
      </c>
      <c r="O227" s="4"/>
    </row>
    <row r="228" spans="1:15" x14ac:dyDescent="0.2">
      <c r="A228" s="15">
        <v>227</v>
      </c>
      <c r="B228" s="3">
        <v>45117</v>
      </c>
      <c r="C228" s="4">
        <v>5.48</v>
      </c>
      <c r="D228" s="16">
        <f t="shared" si="24"/>
        <v>5.4800000000000001E-2</v>
      </c>
      <c r="E228" s="17">
        <f t="shared" si="25"/>
        <v>3.66300366300365E-3</v>
      </c>
      <c r="F228" s="18">
        <f t="shared" si="21"/>
        <v>1.9999999999999879E-4</v>
      </c>
      <c r="G228" s="19">
        <f t="shared" si="22"/>
        <v>1.1394065050645461E-6</v>
      </c>
      <c r="H228" s="20">
        <f t="shared" si="23"/>
        <v>1.9886059349493425E-4</v>
      </c>
      <c r="I228" s="21">
        <f t="shared" si="26"/>
        <v>1207.685241998483</v>
      </c>
      <c r="J228" s="22">
        <f t="shared" si="27"/>
        <v>7.0964607832832431</v>
      </c>
      <c r="O228" s="4"/>
    </row>
    <row r="229" spans="1:15" x14ac:dyDescent="0.2">
      <c r="A229" s="15">
        <v>228</v>
      </c>
      <c r="B229" s="3">
        <v>45114</v>
      </c>
      <c r="C229" s="4">
        <v>5.46</v>
      </c>
      <c r="D229" s="16">
        <f t="shared" si="24"/>
        <v>5.4600000000000003E-2</v>
      </c>
      <c r="E229" s="17">
        <f t="shared" si="25"/>
        <v>0</v>
      </c>
      <c r="F229" s="18">
        <f t="shared" si="21"/>
        <v>0</v>
      </c>
      <c r="G229" s="19">
        <f t="shared" si="22"/>
        <v>1.1394065050645461E-6</v>
      </c>
      <c r="H229" s="20">
        <f t="shared" si="23"/>
        <v>-1.1394065050645461E-6</v>
      </c>
      <c r="I229" s="21">
        <f t="shared" si="26"/>
        <v>2182.3572140030551</v>
      </c>
      <c r="J229" s="22">
        <f t="shared" si="27"/>
        <v>7.6881608624363675</v>
      </c>
      <c r="O229" s="4"/>
    </row>
    <row r="230" spans="1:15" x14ac:dyDescent="0.2">
      <c r="A230" s="15">
        <v>229</v>
      </c>
      <c r="B230" s="3">
        <v>45113</v>
      </c>
      <c r="C230" s="4">
        <v>5.46</v>
      </c>
      <c r="D230" s="16">
        <f t="shared" si="24"/>
        <v>5.4600000000000003E-2</v>
      </c>
      <c r="E230" s="17">
        <f t="shared" si="25"/>
        <v>3.6764705882352811E-3</v>
      </c>
      <c r="F230" s="18">
        <f t="shared" si="21"/>
        <v>1.9999999999999879E-4</v>
      </c>
      <c r="G230" s="19">
        <f t="shared" si="22"/>
        <v>1.2206161792417292E-6</v>
      </c>
      <c r="H230" s="20">
        <f t="shared" si="23"/>
        <v>1.9877938382075705E-4</v>
      </c>
      <c r="I230" s="21">
        <f t="shared" si="26"/>
        <v>1208.2689221398578</v>
      </c>
      <c r="J230" s="22">
        <f t="shared" si="27"/>
        <v>7.0969439713845697</v>
      </c>
      <c r="O230" s="4"/>
    </row>
    <row r="231" spans="1:15" x14ac:dyDescent="0.2">
      <c r="A231" s="15">
        <v>230</v>
      </c>
      <c r="B231" s="3">
        <v>45112</v>
      </c>
      <c r="C231" s="4">
        <v>5.44</v>
      </c>
      <c r="D231" s="16">
        <f t="shared" si="24"/>
        <v>5.4400000000000004E-2</v>
      </c>
      <c r="E231" s="17">
        <f t="shared" si="25"/>
        <v>0</v>
      </c>
      <c r="F231" s="18">
        <f t="shared" si="21"/>
        <v>0</v>
      </c>
      <c r="G231" s="19">
        <f t="shared" si="22"/>
        <v>1.2206161792417292E-6</v>
      </c>
      <c r="H231" s="20">
        <f t="shared" si="23"/>
        <v>-1.2206161792417292E-6</v>
      </c>
      <c r="I231" s="21">
        <f t="shared" si="26"/>
        <v>2182.3509555415694</v>
      </c>
      <c r="J231" s="22">
        <f t="shared" si="27"/>
        <v>7.688157994679238</v>
      </c>
      <c r="O231" s="4"/>
    </row>
    <row r="232" spans="1:15" x14ac:dyDescent="0.2">
      <c r="A232" s="15">
        <v>231</v>
      </c>
      <c r="B232" s="3">
        <v>45110</v>
      </c>
      <c r="C232" s="4">
        <v>5.44</v>
      </c>
      <c r="D232" s="16">
        <f t="shared" si="24"/>
        <v>5.4400000000000004E-2</v>
      </c>
      <c r="E232" s="17">
        <f t="shared" si="25"/>
        <v>1.8416206261511192E-3</v>
      </c>
      <c r="F232" s="18">
        <f t="shared" si="21"/>
        <v>1.000000000000098E-4</v>
      </c>
      <c r="G232" s="19">
        <f t="shared" si="22"/>
        <v>1.2612210163303249E-6</v>
      </c>
      <c r="H232" s="20">
        <f t="shared" si="23"/>
        <v>9.8738778983679484E-5</v>
      </c>
      <c r="I232" s="21">
        <f t="shared" si="26"/>
        <v>1886.1649165252388</v>
      </c>
      <c r="J232" s="22">
        <f t="shared" si="27"/>
        <v>7.5423009018547518</v>
      </c>
      <c r="O232" s="4"/>
    </row>
    <row r="233" spans="1:15" x14ac:dyDescent="0.2">
      <c r="A233" s="15">
        <v>232</v>
      </c>
      <c r="B233" s="3">
        <v>45107</v>
      </c>
      <c r="C233" s="4">
        <v>5.43</v>
      </c>
      <c r="D233" s="16">
        <f t="shared" si="24"/>
        <v>5.4299999999999994E-2</v>
      </c>
      <c r="E233" s="17">
        <f t="shared" si="25"/>
        <v>-5.494505494505697E-3</v>
      </c>
      <c r="F233" s="18">
        <f t="shared" si="21"/>
        <v>-3.0000000000000859E-4</v>
      </c>
      <c r="G233" s="19">
        <f t="shared" si="22"/>
        <v>1.1394065050645461E-6</v>
      </c>
      <c r="H233" s="20">
        <f t="shared" si="23"/>
        <v>-3.0113940650507316E-4</v>
      </c>
      <c r="I233" s="21">
        <f t="shared" si="26"/>
        <v>561.86538343733548</v>
      </c>
      <c r="J233" s="22">
        <f t="shared" si="27"/>
        <v>6.3312622899512068</v>
      </c>
      <c r="O233" s="4"/>
    </row>
    <row r="234" spans="1:15" x14ac:dyDescent="0.2">
      <c r="A234" s="15">
        <v>233</v>
      </c>
      <c r="B234" s="3">
        <v>45106</v>
      </c>
      <c r="C234" s="4">
        <v>5.46</v>
      </c>
      <c r="D234" s="16">
        <f t="shared" si="24"/>
        <v>5.4600000000000003E-2</v>
      </c>
      <c r="E234" s="17">
        <f t="shared" si="25"/>
        <v>3.6764705882352811E-3</v>
      </c>
      <c r="F234" s="18">
        <f t="shared" si="21"/>
        <v>1.9999999999999879E-4</v>
      </c>
      <c r="G234" s="19">
        <f t="shared" si="22"/>
        <v>1.2206161792417292E-6</v>
      </c>
      <c r="H234" s="20">
        <f t="shared" si="23"/>
        <v>1.9877938382075705E-4</v>
      </c>
      <c r="I234" s="21">
        <f t="shared" si="26"/>
        <v>1208.2689221398578</v>
      </c>
      <c r="J234" s="22">
        <f t="shared" si="27"/>
        <v>7.0969439713845697</v>
      </c>
      <c r="O234" s="4"/>
    </row>
    <row r="235" spans="1:15" x14ac:dyDescent="0.2">
      <c r="A235" s="15">
        <v>234</v>
      </c>
      <c r="B235" s="3">
        <v>45105</v>
      </c>
      <c r="C235" s="4">
        <v>5.44</v>
      </c>
      <c r="D235" s="16">
        <f t="shared" si="24"/>
        <v>5.4400000000000004E-2</v>
      </c>
      <c r="E235" s="17">
        <f t="shared" si="25"/>
        <v>0</v>
      </c>
      <c r="F235" s="18">
        <f t="shared" si="21"/>
        <v>0</v>
      </c>
      <c r="G235" s="19">
        <f t="shared" si="22"/>
        <v>1.2206161792417292E-6</v>
      </c>
      <c r="H235" s="20">
        <f t="shared" si="23"/>
        <v>-1.2206161792417292E-6</v>
      </c>
      <c r="I235" s="21">
        <f t="shared" si="26"/>
        <v>2182.3509555415694</v>
      </c>
      <c r="J235" s="22">
        <f t="shared" si="27"/>
        <v>7.688157994679238</v>
      </c>
      <c r="O235" s="4"/>
    </row>
    <row r="236" spans="1:15" x14ac:dyDescent="0.2">
      <c r="A236" s="15">
        <v>235</v>
      </c>
      <c r="B236" s="3">
        <v>45104</v>
      </c>
      <c r="C236" s="4">
        <v>5.44</v>
      </c>
      <c r="D236" s="16">
        <f t="shared" si="24"/>
        <v>5.4400000000000004E-2</v>
      </c>
      <c r="E236" s="17">
        <f t="shared" si="25"/>
        <v>-1.0909090909090868E-2</v>
      </c>
      <c r="F236" s="18">
        <f t="shared" si="21"/>
        <v>-5.9999999999999637E-4</v>
      </c>
      <c r="G236" s="19">
        <f t="shared" si="22"/>
        <v>9.7698715671017966E-7</v>
      </c>
      <c r="H236" s="20">
        <f t="shared" si="23"/>
        <v>-6.0097698715670656E-4</v>
      </c>
      <c r="I236" s="21">
        <f t="shared" si="26"/>
        <v>9.8153429308872475</v>
      </c>
      <c r="J236" s="22">
        <f t="shared" si="27"/>
        <v>2.2839467665869546</v>
      </c>
      <c r="O236" s="4"/>
    </row>
    <row r="237" spans="1:15" x14ac:dyDescent="0.2">
      <c r="A237" s="15">
        <v>236</v>
      </c>
      <c r="B237" s="3">
        <v>45103</v>
      </c>
      <c r="C237" s="4">
        <v>5.5</v>
      </c>
      <c r="D237" s="16">
        <f t="shared" si="24"/>
        <v>5.5E-2</v>
      </c>
      <c r="E237" s="17">
        <f t="shared" si="25"/>
        <v>1.6635859519408491E-2</v>
      </c>
      <c r="F237" s="18">
        <f t="shared" si="21"/>
        <v>8.9999999999999802E-4</v>
      </c>
      <c r="G237" s="19">
        <f t="shared" si="22"/>
        <v>1.3424306905075053E-6</v>
      </c>
      <c r="H237" s="20">
        <f t="shared" si="23"/>
        <v>8.9865756930949047E-4</v>
      </c>
      <c r="I237" s="21">
        <f t="shared" si="26"/>
        <v>1.2330080809997724E-2</v>
      </c>
      <c r="J237" s="22">
        <f t="shared" si="27"/>
        <v>-4.3957134078940499</v>
      </c>
      <c r="O237" s="4"/>
    </row>
    <row r="238" spans="1:15" x14ac:dyDescent="0.2">
      <c r="A238" s="15">
        <v>237</v>
      </c>
      <c r="B238" s="3">
        <v>45100</v>
      </c>
      <c r="C238" s="4">
        <v>5.41</v>
      </c>
      <c r="D238" s="16">
        <f t="shared" si="24"/>
        <v>5.4100000000000002E-2</v>
      </c>
      <c r="E238" s="17">
        <f t="shared" si="25"/>
        <v>1.8518518518517713E-3</v>
      </c>
      <c r="F238" s="18">
        <f t="shared" si="21"/>
        <v>9.9999999999995925E-5</v>
      </c>
      <c r="G238" s="19">
        <f t="shared" si="22"/>
        <v>1.3830355275960954E-6</v>
      </c>
      <c r="H238" s="20">
        <f t="shared" si="23"/>
        <v>9.8616964472399832E-5</v>
      </c>
      <c r="I238" s="21">
        <f t="shared" si="26"/>
        <v>1886.8435339350056</v>
      </c>
      <c r="J238" s="22">
        <f t="shared" si="27"/>
        <v>7.5426606240371932</v>
      </c>
      <c r="O238" s="4"/>
    </row>
    <row r="239" spans="1:15" x14ac:dyDescent="0.2">
      <c r="A239" s="15">
        <v>238</v>
      </c>
      <c r="B239" s="3">
        <v>45099</v>
      </c>
      <c r="C239" s="4">
        <v>5.4</v>
      </c>
      <c r="D239" s="16">
        <f t="shared" si="24"/>
        <v>5.4000000000000006E-2</v>
      </c>
      <c r="E239" s="17">
        <f t="shared" si="25"/>
        <v>0</v>
      </c>
      <c r="F239" s="18">
        <f t="shared" si="21"/>
        <v>0</v>
      </c>
      <c r="G239" s="19">
        <f t="shared" si="22"/>
        <v>1.3830355275960954E-6</v>
      </c>
      <c r="H239" s="20">
        <f t="shared" si="23"/>
        <v>-1.3830355275960954E-6</v>
      </c>
      <c r="I239" s="21">
        <f t="shared" si="26"/>
        <v>2182.3371465395462</v>
      </c>
      <c r="J239" s="22">
        <f t="shared" si="27"/>
        <v>7.6881516670784107</v>
      </c>
      <c r="O239" s="4"/>
    </row>
    <row r="240" spans="1:15" x14ac:dyDescent="0.2">
      <c r="A240" s="15">
        <v>239</v>
      </c>
      <c r="B240" s="3">
        <v>45098</v>
      </c>
      <c r="C240" s="4">
        <v>5.4</v>
      </c>
      <c r="D240" s="16">
        <f t="shared" si="24"/>
        <v>5.4000000000000006E-2</v>
      </c>
      <c r="E240" s="17">
        <f t="shared" si="25"/>
        <v>1.8552875695734272E-3</v>
      </c>
      <c r="F240" s="18">
        <f t="shared" si="21"/>
        <v>1.000000000000098E-4</v>
      </c>
      <c r="G240" s="19">
        <f t="shared" si="22"/>
        <v>1.4236403646846914E-6</v>
      </c>
      <c r="H240" s="20">
        <f t="shared" si="23"/>
        <v>9.8576359635325114E-5</v>
      </c>
      <c r="I240" s="21">
        <f t="shared" si="26"/>
        <v>1887.0696077729719</v>
      </c>
      <c r="J240" s="22">
        <f t="shared" si="27"/>
        <v>7.5427804327501908</v>
      </c>
      <c r="O240" s="4"/>
    </row>
    <row r="241" spans="1:15" x14ac:dyDescent="0.2">
      <c r="A241" s="15">
        <v>240</v>
      </c>
      <c r="B241" s="3">
        <v>45097</v>
      </c>
      <c r="C241" s="4">
        <v>5.39</v>
      </c>
      <c r="D241" s="16">
        <f t="shared" si="24"/>
        <v>5.3899999999999997E-2</v>
      </c>
      <c r="E241" s="17">
        <f t="shared" si="25"/>
        <v>9.3632958801497246E-3</v>
      </c>
      <c r="F241" s="18">
        <f t="shared" si="21"/>
        <v>5.0000000000000044E-4</v>
      </c>
      <c r="G241" s="19">
        <f t="shared" si="22"/>
        <v>1.6266645501276504E-6</v>
      </c>
      <c r="H241" s="20">
        <f t="shared" si="23"/>
        <v>4.9837333544987283E-4</v>
      </c>
      <c r="I241" s="21">
        <f t="shared" si="26"/>
        <v>53.076413759062063</v>
      </c>
      <c r="J241" s="22">
        <f t="shared" si="27"/>
        <v>3.9717326442399696</v>
      </c>
      <c r="O241" s="4"/>
    </row>
    <row r="242" spans="1:15" x14ac:dyDescent="0.2">
      <c r="A242" s="15">
        <v>241</v>
      </c>
      <c r="B242" s="3">
        <v>45093</v>
      </c>
      <c r="C242" s="4">
        <v>5.34</v>
      </c>
      <c r="D242" s="16">
        <f t="shared" si="24"/>
        <v>5.3399999999999996E-2</v>
      </c>
      <c r="E242" s="17">
        <f t="shared" si="25"/>
        <v>1.8761726078797558E-3</v>
      </c>
      <c r="F242" s="18">
        <f t="shared" si="21"/>
        <v>9.9999999999995925E-5</v>
      </c>
      <c r="G242" s="19">
        <f t="shared" si="22"/>
        <v>1.6672693872162407E-6</v>
      </c>
      <c r="H242" s="20">
        <f t="shared" si="23"/>
        <v>9.8332730612779687E-5</v>
      </c>
      <c r="I242" s="21">
        <f t="shared" si="26"/>
        <v>1888.4246630518667</v>
      </c>
      <c r="J242" s="22">
        <f t="shared" si="27"/>
        <v>7.5434982488769693</v>
      </c>
      <c r="O242" s="4"/>
    </row>
    <row r="243" spans="1:15" x14ac:dyDescent="0.2">
      <c r="A243" s="15">
        <v>242</v>
      </c>
      <c r="B243" s="3">
        <v>45092</v>
      </c>
      <c r="C243" s="4">
        <v>5.33</v>
      </c>
      <c r="D243" s="16">
        <f t="shared" si="24"/>
        <v>5.33E-2</v>
      </c>
      <c r="E243" s="17">
        <f t="shared" si="25"/>
        <v>-5.5970149253731227E-3</v>
      </c>
      <c r="F243" s="18">
        <f t="shared" si="21"/>
        <v>-3.0000000000000165E-4</v>
      </c>
      <c r="G243" s="19">
        <f t="shared" si="22"/>
        <v>1.5454548759504645E-6</v>
      </c>
      <c r="H243" s="20">
        <f t="shared" si="23"/>
        <v>-3.0154545487595213E-4</v>
      </c>
      <c r="I243" s="21">
        <f t="shared" si="26"/>
        <v>559.81174558032956</v>
      </c>
      <c r="J243" s="22">
        <f t="shared" si="27"/>
        <v>6.3276005586053081</v>
      </c>
      <c r="O243" s="4"/>
    </row>
    <row r="244" spans="1:15" x14ac:dyDescent="0.2">
      <c r="A244" s="15">
        <v>243</v>
      </c>
      <c r="B244" s="3">
        <v>45091</v>
      </c>
      <c r="C244" s="4">
        <v>5.36</v>
      </c>
      <c r="D244" s="16">
        <f t="shared" si="24"/>
        <v>5.3600000000000002E-2</v>
      </c>
      <c r="E244" s="17">
        <f t="shared" si="25"/>
        <v>0</v>
      </c>
      <c r="F244" s="18">
        <f t="shared" si="21"/>
        <v>0</v>
      </c>
      <c r="G244" s="19">
        <f t="shared" si="22"/>
        <v>1.5454548759504645E-6</v>
      </c>
      <c r="H244" s="20">
        <f t="shared" si="23"/>
        <v>-1.5454548759504645E-6</v>
      </c>
      <c r="I244" s="21">
        <f t="shared" si="26"/>
        <v>2182.3216147931325</v>
      </c>
      <c r="J244" s="22">
        <f t="shared" si="27"/>
        <v>7.6881445500288255</v>
      </c>
      <c r="O244" s="4"/>
    </row>
    <row r="245" spans="1:15" x14ac:dyDescent="0.2">
      <c r="A245" s="15">
        <v>244</v>
      </c>
      <c r="B245" s="3">
        <v>45090</v>
      </c>
      <c r="C245" s="4">
        <v>5.36</v>
      </c>
      <c r="D245" s="16">
        <f t="shared" si="24"/>
        <v>5.3600000000000002E-2</v>
      </c>
      <c r="E245" s="17">
        <f t="shared" si="25"/>
        <v>-7.4074074074075291E-3</v>
      </c>
      <c r="F245" s="18">
        <f t="shared" si="21"/>
        <v>-4.0000000000000452E-4</v>
      </c>
      <c r="G245" s="19">
        <f t="shared" si="22"/>
        <v>1.3830355275960954E-6</v>
      </c>
      <c r="H245" s="20">
        <f t="shared" si="23"/>
        <v>-4.0138303552760061E-4</v>
      </c>
      <c r="I245" s="21">
        <f t="shared" si="26"/>
        <v>195.8830082416039</v>
      </c>
      <c r="J245" s="22">
        <f t="shared" si="27"/>
        <v>5.2775175842902353</v>
      </c>
      <c r="O245" s="4"/>
    </row>
    <row r="246" spans="1:15" x14ac:dyDescent="0.2">
      <c r="A246" s="15">
        <v>245</v>
      </c>
      <c r="B246" s="3">
        <v>45089</v>
      </c>
      <c r="C246" s="4">
        <v>5.4</v>
      </c>
      <c r="D246" s="16">
        <f t="shared" si="24"/>
        <v>5.4000000000000006E-2</v>
      </c>
      <c r="E246" s="17">
        <f t="shared" si="25"/>
        <v>5.5865921787709993E-3</v>
      </c>
      <c r="F246" s="18">
        <f t="shared" si="21"/>
        <v>3.0000000000000859E-4</v>
      </c>
      <c r="G246" s="19">
        <f t="shared" si="22"/>
        <v>1.5048500388618742E-6</v>
      </c>
      <c r="H246" s="20">
        <f t="shared" si="23"/>
        <v>2.9849514996114671E-4</v>
      </c>
      <c r="I246" s="21">
        <f t="shared" si="26"/>
        <v>575.35510458792351</v>
      </c>
      <c r="J246" s="22">
        <f t="shared" si="27"/>
        <v>6.3549874233738901</v>
      </c>
      <c r="O246" s="4"/>
    </row>
    <row r="247" spans="1:15" x14ac:dyDescent="0.2">
      <c r="A247" s="15">
        <v>246</v>
      </c>
      <c r="B247" s="3">
        <v>45086</v>
      </c>
      <c r="C247" s="4">
        <v>5.37</v>
      </c>
      <c r="D247" s="16">
        <f t="shared" si="24"/>
        <v>5.3699999999999998E-2</v>
      </c>
      <c r="E247" s="17">
        <f t="shared" si="25"/>
        <v>-1.8587360594796154E-3</v>
      </c>
      <c r="F247" s="18">
        <f t="shared" si="21"/>
        <v>-1.0000000000000286E-4</v>
      </c>
      <c r="G247" s="19">
        <f t="shared" si="22"/>
        <v>1.4642452017732812E-6</v>
      </c>
      <c r="H247" s="20">
        <f t="shared" si="23"/>
        <v>-1.0146424520177615E-4</v>
      </c>
      <c r="I247" s="21">
        <f t="shared" si="26"/>
        <v>1870.8280079558372</v>
      </c>
      <c r="J247" s="22">
        <f t="shared" si="27"/>
        <v>7.5341363968514017</v>
      </c>
      <c r="O247" s="4"/>
    </row>
    <row r="248" spans="1:15" x14ac:dyDescent="0.2">
      <c r="A248" s="15">
        <v>247</v>
      </c>
      <c r="B248" s="3">
        <v>45085</v>
      </c>
      <c r="C248" s="4">
        <v>5.38</v>
      </c>
      <c r="D248" s="16">
        <f t="shared" si="24"/>
        <v>5.3800000000000001E-2</v>
      </c>
      <c r="E248" s="17">
        <f t="shared" si="25"/>
        <v>-7.3800738007380184E-3</v>
      </c>
      <c r="F248" s="18">
        <f t="shared" si="21"/>
        <v>-3.9999999999999758E-4</v>
      </c>
      <c r="G248" s="19">
        <f t="shared" si="22"/>
        <v>1.3018258534189152E-6</v>
      </c>
      <c r="H248" s="20">
        <f t="shared" si="23"/>
        <v>-4.0130182585341648E-4</v>
      </c>
      <c r="I248" s="21">
        <f t="shared" si="26"/>
        <v>196.0741606811923</v>
      </c>
      <c r="J248" s="22">
        <f t="shared" si="27"/>
        <v>5.278492958488739</v>
      </c>
      <c r="O248" s="4"/>
    </row>
    <row r="249" spans="1:15" x14ac:dyDescent="0.2">
      <c r="A249" s="15">
        <v>248</v>
      </c>
      <c r="B249" s="3">
        <v>45084</v>
      </c>
      <c r="C249" s="4">
        <v>5.42</v>
      </c>
      <c r="D249" s="16">
        <f t="shared" si="24"/>
        <v>5.4199999999999998E-2</v>
      </c>
      <c r="E249" s="17">
        <f t="shared" si="25"/>
        <v>-3.6764705882353921E-3</v>
      </c>
      <c r="F249" s="18">
        <f t="shared" si="21"/>
        <v>-2.0000000000000573E-4</v>
      </c>
      <c r="G249" s="19">
        <f t="shared" si="22"/>
        <v>1.2206161792417292E-6</v>
      </c>
      <c r="H249" s="20">
        <f t="shared" si="23"/>
        <v>-2.0122061617924747E-4</v>
      </c>
      <c r="I249" s="21">
        <f t="shared" si="26"/>
        <v>1190.7429463890403</v>
      </c>
      <c r="J249" s="22">
        <f t="shared" si="27"/>
        <v>7.0823327159926626</v>
      </c>
      <c r="O249" s="4"/>
    </row>
    <row r="250" spans="1:15" x14ac:dyDescent="0.2">
      <c r="A250" s="15">
        <v>249</v>
      </c>
      <c r="B250" s="3">
        <v>45083</v>
      </c>
      <c r="C250" s="4">
        <v>5.44</v>
      </c>
      <c r="D250" s="16">
        <f t="shared" si="24"/>
        <v>5.4400000000000004E-2</v>
      </c>
      <c r="E250" s="17">
        <f t="shared" si="25"/>
        <v>-3.66300366300365E-3</v>
      </c>
      <c r="F250" s="18">
        <f t="shared" si="21"/>
        <v>-1.9999999999999879E-4</v>
      </c>
      <c r="G250" s="19">
        <f t="shared" si="22"/>
        <v>1.1394065050645461E-6</v>
      </c>
      <c r="H250" s="20">
        <f t="shared" si="23"/>
        <v>-2.0113940650506333E-4</v>
      </c>
      <c r="I250" s="21">
        <f t="shared" si="26"/>
        <v>1191.3252710802183</v>
      </c>
      <c r="J250" s="22">
        <f t="shared" si="27"/>
        <v>7.0828216396082908</v>
      </c>
      <c r="O250" s="4"/>
    </row>
    <row r="251" spans="1:15" x14ac:dyDescent="0.2">
      <c r="A251" s="15">
        <v>250</v>
      </c>
      <c r="B251" s="3">
        <v>45082</v>
      </c>
      <c r="C251" s="4">
        <v>5.46</v>
      </c>
      <c r="D251" s="16">
        <f t="shared" si="24"/>
        <v>5.4600000000000003E-2</v>
      </c>
      <c r="E251" s="17">
        <f t="shared" si="25"/>
        <v>-7.2727272727272085E-3</v>
      </c>
      <c r="F251" s="18">
        <f t="shared" si="21"/>
        <v>-3.9999999999999758E-4</v>
      </c>
      <c r="G251" s="19">
        <f t="shared" si="22"/>
        <v>9.7698715671017966E-7</v>
      </c>
      <c r="H251" s="20">
        <f t="shared" si="23"/>
        <v>-4.0097698715670777E-4</v>
      </c>
      <c r="I251" s="21">
        <f t="shared" si="26"/>
        <v>196.84024913321292</v>
      </c>
      <c r="J251" s="22">
        <f t="shared" si="27"/>
        <v>5.2823924816605254</v>
      </c>
      <c r="O251" s="4"/>
    </row>
    <row r="252" spans="1:15" x14ac:dyDescent="0.2">
      <c r="A252" s="15">
        <v>251</v>
      </c>
      <c r="B252" s="3">
        <v>45079</v>
      </c>
      <c r="C252" s="4">
        <v>5.5</v>
      </c>
      <c r="D252" s="16">
        <f t="shared" si="24"/>
        <v>5.5E-2</v>
      </c>
      <c r="E252" s="17">
        <f t="shared" si="25"/>
        <v>0</v>
      </c>
      <c r="F252" s="18">
        <f t="shared" si="21"/>
        <v>0</v>
      </c>
      <c r="G252" s="19">
        <f t="shared" si="22"/>
        <v>9.7698715671017966E-7</v>
      </c>
      <c r="H252" s="20">
        <f t="shared" si="23"/>
        <v>-9.7698715671017966E-7</v>
      </c>
      <c r="I252" s="21">
        <f t="shared" si="26"/>
        <v>2182.3684388284473</v>
      </c>
      <c r="J252" s="22">
        <f t="shared" si="27"/>
        <v>7.6881660058640584</v>
      </c>
      <c r="O252" s="4"/>
    </row>
    <row r="253" spans="1:15" ht="17" thickBot="1" x14ac:dyDescent="0.25">
      <c r="A253" s="34">
        <v>252</v>
      </c>
      <c r="B253" s="35">
        <v>45078</v>
      </c>
      <c r="C253" s="36">
        <v>5.5</v>
      </c>
      <c r="D253" s="37">
        <f t="shared" si="24"/>
        <v>5.5E-2</v>
      </c>
      <c r="E253" s="37"/>
      <c r="F253" s="37"/>
      <c r="G253" s="38"/>
      <c r="H253" s="38"/>
      <c r="I253" s="37"/>
      <c r="J253" s="39"/>
      <c r="O253" s="4"/>
    </row>
    <row r="254" spans="1:15" x14ac:dyDescent="0.2">
      <c r="B254" s="3"/>
      <c r="C254" s="4"/>
      <c r="O254" s="4"/>
    </row>
    <row r="255" spans="1:15" x14ac:dyDescent="0.2">
      <c r="B255" s="3"/>
      <c r="C255" s="4"/>
      <c r="O255" s="4"/>
    </row>
    <row r="256" spans="1:15" x14ac:dyDescent="0.2">
      <c r="B256" s="3"/>
      <c r="C256" s="4"/>
      <c r="O256" s="4"/>
    </row>
    <row r="257" spans="2:15" x14ac:dyDescent="0.2">
      <c r="B257" s="3"/>
      <c r="C257" s="4"/>
      <c r="O257" s="4"/>
    </row>
    <row r="258" spans="2:15" x14ac:dyDescent="0.2">
      <c r="B258" s="3"/>
      <c r="C258" s="4"/>
      <c r="O258" s="4"/>
    </row>
    <row r="259" spans="2:15" x14ac:dyDescent="0.2">
      <c r="B259" s="3"/>
      <c r="C259" s="4"/>
      <c r="O259" s="4"/>
    </row>
    <row r="260" spans="2:15" x14ac:dyDescent="0.2">
      <c r="B260" s="3"/>
      <c r="C260" s="4"/>
      <c r="O260" s="4"/>
    </row>
    <row r="261" spans="2:15" x14ac:dyDescent="0.2">
      <c r="B261" s="3"/>
      <c r="C261" s="4"/>
      <c r="O261" s="4"/>
    </row>
    <row r="262" spans="2:15" x14ac:dyDescent="0.2">
      <c r="B262" s="3"/>
      <c r="C262" s="4"/>
      <c r="O262" s="4"/>
    </row>
    <row r="263" spans="2:15" x14ac:dyDescent="0.2">
      <c r="B263" s="3"/>
      <c r="C263" s="4"/>
      <c r="O263" s="4"/>
    </row>
    <row r="264" spans="2:15" x14ac:dyDescent="0.2">
      <c r="B264" s="3"/>
      <c r="C264" s="4"/>
      <c r="O264" s="4"/>
    </row>
    <row r="265" spans="2:15" x14ac:dyDescent="0.2">
      <c r="B265" s="3"/>
      <c r="C265" s="4"/>
      <c r="O265" s="4"/>
    </row>
    <row r="266" spans="2:15" x14ac:dyDescent="0.2">
      <c r="B266" s="3"/>
      <c r="C266" s="4"/>
      <c r="O266" s="4"/>
    </row>
    <row r="267" spans="2:15" x14ac:dyDescent="0.2">
      <c r="B267" s="3"/>
      <c r="C267" s="4"/>
      <c r="O267" s="4"/>
    </row>
    <row r="268" spans="2:15" x14ac:dyDescent="0.2">
      <c r="B268" s="3"/>
      <c r="C268" s="4"/>
      <c r="O268" s="4"/>
    </row>
    <row r="269" spans="2:15" x14ac:dyDescent="0.2">
      <c r="B269" s="3"/>
      <c r="C269" s="4"/>
      <c r="O269" s="4"/>
    </row>
    <row r="270" spans="2:15" x14ac:dyDescent="0.2">
      <c r="B270" s="3"/>
      <c r="C270" s="4"/>
      <c r="O270" s="4"/>
    </row>
    <row r="271" spans="2:15" x14ac:dyDescent="0.2">
      <c r="B271" s="3"/>
      <c r="C271" s="4"/>
      <c r="O271" s="4"/>
    </row>
    <row r="272" spans="2:15" x14ac:dyDescent="0.2">
      <c r="B272" s="3"/>
      <c r="C272" s="4"/>
      <c r="O272" s="4"/>
    </row>
    <row r="273" spans="2:15" x14ac:dyDescent="0.2">
      <c r="B273" s="3"/>
      <c r="C273" s="4"/>
      <c r="O273" s="4"/>
    </row>
    <row r="274" spans="2:15" x14ac:dyDescent="0.2">
      <c r="B274" s="3"/>
      <c r="C274" s="4"/>
      <c r="O274" s="4"/>
    </row>
    <row r="275" spans="2:15" x14ac:dyDescent="0.2">
      <c r="B275" s="3"/>
      <c r="C275" s="4"/>
      <c r="O275" s="4"/>
    </row>
    <row r="276" spans="2:15" x14ac:dyDescent="0.2">
      <c r="B276" s="3"/>
      <c r="C276" s="4"/>
    </row>
    <row r="277" spans="2:15" x14ac:dyDescent="0.2">
      <c r="B277" s="3"/>
      <c r="C277" s="4"/>
    </row>
    <row r="278" spans="2:15" x14ac:dyDescent="0.2">
      <c r="B278" s="3"/>
      <c r="C278" s="4"/>
    </row>
    <row r="279" spans="2:15" x14ac:dyDescent="0.2">
      <c r="B279" s="3"/>
      <c r="C279" s="4"/>
    </row>
    <row r="280" spans="2:15" x14ac:dyDescent="0.2">
      <c r="B280" s="3"/>
      <c r="C280" s="4"/>
    </row>
    <row r="281" spans="2:15" x14ac:dyDescent="0.2">
      <c r="B281" s="3"/>
      <c r="C281" s="4"/>
    </row>
    <row r="282" spans="2:15" x14ac:dyDescent="0.2">
      <c r="B282" s="3"/>
      <c r="C282" s="4"/>
    </row>
    <row r="283" spans="2:15" x14ac:dyDescent="0.2">
      <c r="B283" s="3"/>
      <c r="C283" s="4"/>
    </row>
    <row r="284" spans="2:15" x14ac:dyDescent="0.2">
      <c r="B284" s="3"/>
      <c r="C284" s="4"/>
    </row>
    <row r="285" spans="2:15" x14ac:dyDescent="0.2">
      <c r="B285" s="3"/>
      <c r="C285" s="4"/>
    </row>
    <row r="286" spans="2:15" x14ac:dyDescent="0.2">
      <c r="B286" s="3"/>
      <c r="C286" s="4"/>
    </row>
    <row r="287" spans="2:15" x14ac:dyDescent="0.2">
      <c r="B287" s="3"/>
      <c r="C287" s="4"/>
    </row>
    <row r="288" spans="2:15" x14ac:dyDescent="0.2">
      <c r="B288" s="3"/>
      <c r="C288" s="4"/>
    </row>
    <row r="289" spans="2:3" x14ac:dyDescent="0.2">
      <c r="B289" s="3"/>
      <c r="C289" s="4"/>
    </row>
    <row r="290" spans="2:3" x14ac:dyDescent="0.2">
      <c r="B290" s="3"/>
      <c r="C290" s="4"/>
    </row>
    <row r="291" spans="2:3" x14ac:dyDescent="0.2">
      <c r="B291" s="3"/>
      <c r="C291" s="4"/>
    </row>
    <row r="292" spans="2:3" x14ac:dyDescent="0.2">
      <c r="B292" s="3"/>
      <c r="C292" s="4"/>
    </row>
    <row r="293" spans="2:3" x14ac:dyDescent="0.2">
      <c r="B293" s="3"/>
      <c r="C293" s="4"/>
    </row>
    <row r="294" spans="2:3" x14ac:dyDescent="0.2">
      <c r="B294" s="3"/>
      <c r="C294" s="4"/>
    </row>
    <row r="295" spans="2:3" x14ac:dyDescent="0.2">
      <c r="B295" s="3"/>
      <c r="C295" s="4"/>
    </row>
    <row r="296" spans="2:3" x14ac:dyDescent="0.2">
      <c r="B296" s="3"/>
      <c r="C296" s="4"/>
    </row>
    <row r="297" spans="2:3" x14ac:dyDescent="0.2">
      <c r="B297" s="3"/>
      <c r="C297" s="4"/>
    </row>
    <row r="298" spans="2:3" x14ac:dyDescent="0.2">
      <c r="B298" s="3"/>
      <c r="C298" s="4"/>
    </row>
    <row r="299" spans="2:3" x14ac:dyDescent="0.2">
      <c r="B299" s="3"/>
      <c r="C299" s="4"/>
    </row>
    <row r="300" spans="2:3" x14ac:dyDescent="0.2">
      <c r="B300" s="3"/>
      <c r="C300" s="4"/>
    </row>
    <row r="301" spans="2:3" x14ac:dyDescent="0.2">
      <c r="B301" s="3"/>
      <c r="C301" s="4"/>
    </row>
    <row r="302" spans="2:3" x14ac:dyDescent="0.2">
      <c r="B302" s="3"/>
      <c r="C302" s="4"/>
    </row>
    <row r="303" spans="2:3" x14ac:dyDescent="0.2">
      <c r="B303" s="3"/>
      <c r="C303" s="4"/>
    </row>
    <row r="304" spans="2:3" x14ac:dyDescent="0.2">
      <c r="B304" s="3"/>
      <c r="C304" s="4"/>
    </row>
    <row r="305" spans="2:3" x14ac:dyDescent="0.2">
      <c r="B305" s="3"/>
      <c r="C305" s="4"/>
    </row>
    <row r="306" spans="2:3" x14ac:dyDescent="0.2">
      <c r="B306" s="3"/>
      <c r="C306" s="4"/>
    </row>
    <row r="307" spans="2:3" x14ac:dyDescent="0.2">
      <c r="B307" s="3"/>
      <c r="C307" s="4"/>
    </row>
    <row r="308" spans="2:3" x14ac:dyDescent="0.2">
      <c r="B308" s="3"/>
      <c r="C308" s="4"/>
    </row>
    <row r="309" spans="2:3" x14ac:dyDescent="0.2">
      <c r="B309" s="3"/>
      <c r="C309" s="4"/>
    </row>
    <row r="310" spans="2:3" x14ac:dyDescent="0.2">
      <c r="B310" s="3"/>
      <c r="C310" s="4"/>
    </row>
    <row r="311" spans="2:3" x14ac:dyDescent="0.2">
      <c r="B311" s="3"/>
      <c r="C311" s="4"/>
    </row>
    <row r="312" spans="2:3" x14ac:dyDescent="0.2">
      <c r="B312" s="3"/>
      <c r="C312" s="4"/>
    </row>
    <row r="313" spans="2:3" x14ac:dyDescent="0.2">
      <c r="B313" s="3"/>
      <c r="C313" s="4"/>
    </row>
    <row r="314" spans="2:3" x14ac:dyDescent="0.2">
      <c r="B314" s="3"/>
      <c r="C314" s="4"/>
    </row>
    <row r="315" spans="2:3" x14ac:dyDescent="0.2">
      <c r="B315" s="3"/>
      <c r="C315" s="4"/>
    </row>
    <row r="316" spans="2:3" x14ac:dyDescent="0.2">
      <c r="B316" s="3"/>
      <c r="C316" s="4"/>
    </row>
    <row r="317" spans="2:3" x14ac:dyDescent="0.2">
      <c r="B317" s="3"/>
      <c r="C317" s="4"/>
    </row>
    <row r="318" spans="2:3" x14ac:dyDescent="0.2">
      <c r="B318" s="3"/>
      <c r="C318" s="4"/>
    </row>
    <row r="319" spans="2:3" x14ac:dyDescent="0.2">
      <c r="B319" s="3"/>
      <c r="C319" s="4"/>
    </row>
    <row r="320" spans="2:3" x14ac:dyDescent="0.2">
      <c r="B320" s="3"/>
      <c r="C320" s="4"/>
    </row>
    <row r="321" spans="2:3" x14ac:dyDescent="0.2">
      <c r="B321" s="3"/>
      <c r="C321" s="4"/>
    </row>
    <row r="322" spans="2:3" x14ac:dyDescent="0.2">
      <c r="B322" s="3"/>
      <c r="C322" s="4"/>
    </row>
    <row r="323" spans="2:3" x14ac:dyDescent="0.2">
      <c r="B323" s="3"/>
      <c r="C323" s="4"/>
    </row>
    <row r="324" spans="2:3" x14ac:dyDescent="0.2">
      <c r="B324" s="3"/>
      <c r="C324" s="4"/>
    </row>
    <row r="325" spans="2:3" x14ac:dyDescent="0.2">
      <c r="B325" s="3"/>
      <c r="C325" s="4"/>
    </row>
    <row r="326" spans="2:3" x14ac:dyDescent="0.2">
      <c r="B326" s="3"/>
      <c r="C326" s="4"/>
    </row>
    <row r="327" spans="2:3" x14ac:dyDescent="0.2">
      <c r="B327" s="3"/>
      <c r="C327" s="4"/>
    </row>
    <row r="328" spans="2:3" x14ac:dyDescent="0.2">
      <c r="B328" s="3"/>
      <c r="C328" s="4"/>
    </row>
    <row r="329" spans="2:3" x14ac:dyDescent="0.2">
      <c r="B329" s="3"/>
      <c r="C329" s="4"/>
    </row>
    <row r="330" spans="2:3" x14ac:dyDescent="0.2">
      <c r="B330" s="3"/>
      <c r="C330" s="4"/>
    </row>
    <row r="331" spans="2:3" x14ac:dyDescent="0.2">
      <c r="B331" s="3"/>
      <c r="C331" s="4"/>
    </row>
    <row r="332" spans="2:3" x14ac:dyDescent="0.2">
      <c r="B332" s="3"/>
      <c r="C332" s="4"/>
    </row>
    <row r="333" spans="2:3" x14ac:dyDescent="0.2">
      <c r="B333" s="3"/>
      <c r="C333" s="4"/>
    </row>
    <row r="334" spans="2:3" x14ac:dyDescent="0.2">
      <c r="B334" s="3"/>
      <c r="C334" s="4"/>
    </row>
    <row r="335" spans="2:3" x14ac:dyDescent="0.2">
      <c r="B335" s="3"/>
      <c r="C335" s="4"/>
    </row>
    <row r="336" spans="2:3" x14ac:dyDescent="0.2">
      <c r="B336" s="3"/>
      <c r="C336" s="4"/>
    </row>
    <row r="337" spans="2:3" x14ac:dyDescent="0.2">
      <c r="B337" s="3"/>
      <c r="C337" s="4"/>
    </row>
    <row r="338" spans="2:3" x14ac:dyDescent="0.2">
      <c r="B338" s="3"/>
      <c r="C338" s="4"/>
    </row>
    <row r="339" spans="2:3" x14ac:dyDescent="0.2">
      <c r="B339" s="3"/>
      <c r="C339" s="4"/>
    </row>
    <row r="340" spans="2:3" x14ac:dyDescent="0.2">
      <c r="B340" s="3"/>
      <c r="C340" s="4"/>
    </row>
    <row r="341" spans="2:3" x14ac:dyDescent="0.2">
      <c r="B341" s="3"/>
      <c r="C341" s="4"/>
    </row>
    <row r="342" spans="2:3" x14ac:dyDescent="0.2">
      <c r="B342" s="3"/>
      <c r="C342" s="4"/>
    </row>
    <row r="343" spans="2:3" x14ac:dyDescent="0.2">
      <c r="B343" s="3"/>
      <c r="C343" s="4"/>
    </row>
    <row r="344" spans="2:3" x14ac:dyDescent="0.2">
      <c r="B344" s="3"/>
      <c r="C344" s="4"/>
    </row>
    <row r="345" spans="2:3" x14ac:dyDescent="0.2">
      <c r="B345" s="3"/>
      <c r="C345" s="4"/>
    </row>
    <row r="346" spans="2:3" x14ac:dyDescent="0.2">
      <c r="B346" s="3"/>
      <c r="C346" s="4"/>
    </row>
    <row r="347" spans="2:3" x14ac:dyDescent="0.2">
      <c r="B347" s="3"/>
      <c r="C347" s="4"/>
    </row>
    <row r="348" spans="2:3" x14ac:dyDescent="0.2">
      <c r="B348" s="3"/>
      <c r="C348" s="4"/>
    </row>
    <row r="349" spans="2:3" x14ac:dyDescent="0.2">
      <c r="B349" s="3"/>
      <c r="C349" s="4"/>
    </row>
    <row r="350" spans="2:3" x14ac:dyDescent="0.2">
      <c r="B350" s="3"/>
      <c r="C350" s="4"/>
    </row>
    <row r="351" spans="2:3" x14ac:dyDescent="0.2">
      <c r="B351" s="3"/>
      <c r="C351" s="4"/>
    </row>
    <row r="352" spans="2:3" x14ac:dyDescent="0.2">
      <c r="B352" s="3"/>
      <c r="C352" s="4"/>
    </row>
    <row r="353" spans="2:3" x14ac:dyDescent="0.2">
      <c r="B353" s="3"/>
      <c r="C353" s="4"/>
    </row>
    <row r="354" spans="2:3" x14ac:dyDescent="0.2">
      <c r="B354" s="3"/>
      <c r="C354" s="4"/>
    </row>
    <row r="355" spans="2:3" x14ac:dyDescent="0.2">
      <c r="B355" s="3"/>
      <c r="C355" s="4"/>
    </row>
    <row r="356" spans="2:3" x14ac:dyDescent="0.2">
      <c r="B356" s="3"/>
      <c r="C356" s="4"/>
    </row>
    <row r="357" spans="2:3" x14ac:dyDescent="0.2">
      <c r="B357" s="3"/>
      <c r="C357" s="4"/>
    </row>
    <row r="358" spans="2:3" x14ac:dyDescent="0.2">
      <c r="B358" s="3"/>
      <c r="C358" s="4"/>
    </row>
    <row r="359" spans="2:3" x14ac:dyDescent="0.2">
      <c r="B359" s="3"/>
      <c r="C359" s="4"/>
    </row>
    <row r="360" spans="2:3" x14ac:dyDescent="0.2">
      <c r="B360" s="3"/>
      <c r="C360" s="4"/>
    </row>
    <row r="361" spans="2:3" x14ac:dyDescent="0.2">
      <c r="B361" s="3"/>
      <c r="C361" s="4"/>
    </row>
    <row r="362" spans="2:3" x14ac:dyDescent="0.2">
      <c r="B362" s="3"/>
      <c r="C362" s="4"/>
    </row>
    <row r="363" spans="2:3" x14ac:dyDescent="0.2">
      <c r="B363" s="3"/>
      <c r="C363" s="4"/>
    </row>
    <row r="364" spans="2:3" x14ac:dyDescent="0.2">
      <c r="B364" s="3"/>
      <c r="C364" s="4"/>
    </row>
    <row r="365" spans="2:3" x14ac:dyDescent="0.2">
      <c r="B365" s="3"/>
      <c r="C365" s="4"/>
    </row>
    <row r="366" spans="2:3" x14ac:dyDescent="0.2">
      <c r="B366" s="3"/>
      <c r="C366" s="4"/>
    </row>
    <row r="367" spans="2:3" x14ac:dyDescent="0.2">
      <c r="B367" s="3"/>
      <c r="C367" s="4"/>
    </row>
    <row r="368" spans="2:3" x14ac:dyDescent="0.2">
      <c r="B368" s="3"/>
      <c r="C368" s="4"/>
    </row>
    <row r="369" spans="2:3" x14ac:dyDescent="0.2">
      <c r="B369" s="3"/>
      <c r="C369" s="4"/>
    </row>
    <row r="370" spans="2:3" x14ac:dyDescent="0.2">
      <c r="B370" s="3"/>
      <c r="C370" s="4"/>
    </row>
    <row r="371" spans="2:3" x14ac:dyDescent="0.2">
      <c r="B371" s="3"/>
      <c r="C371" s="4"/>
    </row>
    <row r="372" spans="2:3" x14ac:dyDescent="0.2">
      <c r="B372" s="3"/>
      <c r="C372" s="4"/>
    </row>
    <row r="373" spans="2:3" x14ac:dyDescent="0.2">
      <c r="B373" s="3"/>
      <c r="C373" s="4"/>
    </row>
    <row r="374" spans="2:3" x14ac:dyDescent="0.2">
      <c r="B374" s="3"/>
      <c r="C374" s="4"/>
    </row>
    <row r="375" spans="2:3" x14ac:dyDescent="0.2">
      <c r="B375" s="3"/>
      <c r="C375" s="4"/>
    </row>
    <row r="376" spans="2:3" x14ac:dyDescent="0.2">
      <c r="B376" s="3"/>
      <c r="C376" s="4"/>
    </row>
    <row r="377" spans="2:3" x14ac:dyDescent="0.2">
      <c r="B377" s="3"/>
      <c r="C377" s="4"/>
    </row>
    <row r="378" spans="2:3" x14ac:dyDescent="0.2">
      <c r="B378" s="3"/>
      <c r="C378" s="4"/>
    </row>
    <row r="379" spans="2:3" x14ac:dyDescent="0.2">
      <c r="B379" s="3"/>
      <c r="C379" s="4"/>
    </row>
    <row r="380" spans="2:3" x14ac:dyDescent="0.2">
      <c r="B380" s="3"/>
      <c r="C380" s="4"/>
    </row>
    <row r="381" spans="2:3" x14ac:dyDescent="0.2">
      <c r="B381" s="3"/>
      <c r="C381" s="4"/>
    </row>
    <row r="382" spans="2:3" x14ac:dyDescent="0.2">
      <c r="B382" s="3"/>
      <c r="C382" s="4"/>
    </row>
    <row r="383" spans="2:3" x14ac:dyDescent="0.2">
      <c r="B383" s="3"/>
      <c r="C383" s="4"/>
    </row>
    <row r="384" spans="2:3" x14ac:dyDescent="0.2">
      <c r="B384" s="3"/>
      <c r="C384" s="4"/>
    </row>
    <row r="385" spans="2:3" x14ac:dyDescent="0.2">
      <c r="B385" s="3"/>
      <c r="C385" s="4"/>
    </row>
    <row r="386" spans="2:3" x14ac:dyDescent="0.2">
      <c r="B386" s="3"/>
      <c r="C386" s="4"/>
    </row>
    <row r="387" spans="2:3" x14ac:dyDescent="0.2">
      <c r="B387" s="3"/>
      <c r="C387" s="4"/>
    </row>
    <row r="388" spans="2:3" x14ac:dyDescent="0.2">
      <c r="B388" s="3"/>
      <c r="C388" s="4"/>
    </row>
    <row r="389" spans="2:3" x14ac:dyDescent="0.2">
      <c r="B389" s="3"/>
      <c r="C389" s="4"/>
    </row>
    <row r="390" spans="2:3" x14ac:dyDescent="0.2">
      <c r="B390" s="3"/>
      <c r="C390" s="4"/>
    </row>
    <row r="391" spans="2:3" x14ac:dyDescent="0.2">
      <c r="B391" s="3"/>
      <c r="C391" s="4"/>
    </row>
    <row r="392" spans="2:3" x14ac:dyDescent="0.2">
      <c r="B392" s="3"/>
      <c r="C392" s="4"/>
    </row>
    <row r="393" spans="2:3" x14ac:dyDescent="0.2">
      <c r="B393" s="3"/>
      <c r="C393" s="4"/>
    </row>
    <row r="394" spans="2:3" x14ac:dyDescent="0.2">
      <c r="B394" s="3"/>
      <c r="C394" s="4"/>
    </row>
    <row r="395" spans="2:3" x14ac:dyDescent="0.2">
      <c r="B395" s="3"/>
      <c r="C395" s="4"/>
    </row>
    <row r="396" spans="2:3" x14ac:dyDescent="0.2">
      <c r="B396" s="3"/>
      <c r="C396" s="4"/>
    </row>
    <row r="397" spans="2:3" x14ac:dyDescent="0.2">
      <c r="B397" s="3"/>
      <c r="C397" s="4"/>
    </row>
    <row r="398" spans="2:3" x14ac:dyDescent="0.2">
      <c r="B398" s="3"/>
      <c r="C398" s="4"/>
    </row>
    <row r="399" spans="2:3" x14ac:dyDescent="0.2">
      <c r="B399" s="3"/>
      <c r="C399" s="4"/>
    </row>
    <row r="400" spans="2:3" x14ac:dyDescent="0.2">
      <c r="B400" s="3"/>
      <c r="C400" s="4"/>
    </row>
    <row r="401" spans="2:3" x14ac:dyDescent="0.2">
      <c r="B401" s="3"/>
      <c r="C401" s="4"/>
    </row>
    <row r="402" spans="2:3" x14ac:dyDescent="0.2">
      <c r="B402" s="3"/>
      <c r="C402" s="4"/>
    </row>
    <row r="403" spans="2:3" x14ac:dyDescent="0.2">
      <c r="B403" s="3"/>
      <c r="C403" s="4"/>
    </row>
    <row r="404" spans="2:3" x14ac:dyDescent="0.2">
      <c r="B404" s="3"/>
      <c r="C404" s="4"/>
    </row>
    <row r="405" spans="2:3" x14ac:dyDescent="0.2">
      <c r="B405" s="3"/>
      <c r="C405" s="4"/>
    </row>
    <row r="406" spans="2:3" x14ac:dyDescent="0.2">
      <c r="B406" s="3"/>
      <c r="C406" s="4"/>
    </row>
    <row r="407" spans="2:3" x14ac:dyDescent="0.2">
      <c r="B407" s="3"/>
      <c r="C407" s="4"/>
    </row>
    <row r="408" spans="2:3" x14ac:dyDescent="0.2">
      <c r="B408" s="3"/>
      <c r="C408" s="4"/>
    </row>
    <row r="409" spans="2:3" x14ac:dyDescent="0.2">
      <c r="B409" s="3"/>
      <c r="C409" s="4"/>
    </row>
    <row r="410" spans="2:3" x14ac:dyDescent="0.2">
      <c r="B410" s="3"/>
      <c r="C410" s="4"/>
    </row>
    <row r="411" spans="2:3" x14ac:dyDescent="0.2">
      <c r="B411" s="3"/>
      <c r="C411" s="4"/>
    </row>
    <row r="412" spans="2:3" x14ac:dyDescent="0.2">
      <c r="B412" s="3"/>
      <c r="C412" s="4"/>
    </row>
    <row r="413" spans="2:3" x14ac:dyDescent="0.2">
      <c r="B413" s="3"/>
      <c r="C413" s="4"/>
    </row>
    <row r="414" spans="2:3" x14ac:dyDescent="0.2">
      <c r="B414" s="3"/>
      <c r="C414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FBFE-1DB4-6C40-A486-6769EA36F65B}">
  <dimension ref="A1:T255"/>
  <sheetViews>
    <sheetView workbookViewId="0">
      <selection activeCell="B12" sqref="B12"/>
    </sheetView>
  </sheetViews>
  <sheetFormatPr baseColWidth="10" defaultRowHeight="16" x14ac:dyDescent="0.2"/>
  <cols>
    <col min="1" max="1" width="22.1640625" bestFit="1" customWidth="1"/>
    <col min="5" max="5" width="12.83203125" bestFit="1" customWidth="1"/>
    <col min="7" max="8" width="12.83203125" bestFit="1" customWidth="1"/>
    <col min="9" max="9" width="12.1640625" bestFit="1" customWidth="1"/>
    <col min="10" max="10" width="12.83203125" bestFit="1" customWidth="1"/>
    <col min="11" max="11" width="12.1640625" bestFit="1" customWidth="1"/>
    <col min="12" max="14" width="12.83203125" bestFit="1" customWidth="1"/>
  </cols>
  <sheetData>
    <row r="1" spans="1:20" x14ac:dyDescent="0.2">
      <c r="A1" s="11" t="s">
        <v>29</v>
      </c>
      <c r="B1" s="41">
        <v>0.10232418946325139</v>
      </c>
      <c r="D1" s="40" t="s">
        <v>35</v>
      </c>
      <c r="E1" s="40" t="s">
        <v>36</v>
      </c>
      <c r="F1" s="40" t="s">
        <v>37</v>
      </c>
      <c r="G1" s="40" t="s">
        <v>38</v>
      </c>
      <c r="H1" s="40" t="s">
        <v>39</v>
      </c>
      <c r="I1" s="40" t="s">
        <v>40</v>
      </c>
      <c r="J1" s="40" t="s">
        <v>41</v>
      </c>
      <c r="K1" s="40" t="s">
        <v>42</v>
      </c>
      <c r="L1" s="40" t="s">
        <v>43</v>
      </c>
      <c r="M1" s="40" t="s">
        <v>44</v>
      </c>
      <c r="N1" s="40" t="s">
        <v>45</v>
      </c>
    </row>
    <row r="2" spans="1:20" ht="16" customHeight="1" x14ac:dyDescent="0.2">
      <c r="A2" s="11" t="s">
        <v>30</v>
      </c>
      <c r="B2" s="11">
        <v>5.7406085645851958E-2</v>
      </c>
      <c r="D2">
        <v>0</v>
      </c>
      <c r="E2">
        <f>$B$4</f>
        <v>5.5199999999999999E-2</v>
      </c>
      <c r="F2">
        <f>$B$4</f>
        <v>5.5199999999999999E-2</v>
      </c>
      <c r="G2">
        <f t="shared" ref="G2:N2" si="0">$B$4</f>
        <v>5.5199999999999999E-2</v>
      </c>
      <c r="H2">
        <f t="shared" si="0"/>
        <v>5.5199999999999999E-2</v>
      </c>
      <c r="I2">
        <f t="shared" si="0"/>
        <v>5.5199999999999999E-2</v>
      </c>
      <c r="J2">
        <f t="shared" si="0"/>
        <v>5.5199999999999999E-2</v>
      </c>
      <c r="K2">
        <f t="shared" si="0"/>
        <v>5.5199999999999999E-2</v>
      </c>
      <c r="L2">
        <f t="shared" si="0"/>
        <v>5.5199999999999999E-2</v>
      </c>
      <c r="M2">
        <f t="shared" si="0"/>
        <v>5.5199999999999999E-2</v>
      </c>
      <c r="N2">
        <f t="shared" si="0"/>
        <v>5.5199999999999999E-2</v>
      </c>
      <c r="P2" s="46" t="s">
        <v>46</v>
      </c>
      <c r="Q2" s="46"/>
      <c r="R2" s="46"/>
      <c r="S2" s="46"/>
      <c r="T2" s="46"/>
    </row>
    <row r="3" spans="1:20" ht="16" customHeight="1" x14ac:dyDescent="0.2">
      <c r="A3" s="11" t="s">
        <v>31</v>
      </c>
      <c r="B3" s="42">
        <v>1.8279983139301718E-4</v>
      </c>
      <c r="D3">
        <v>1</v>
      </c>
      <c r="E3">
        <f ca="1">$B$1*($B$2-E2)*$B$6+$B$3*SQRT($B$6)*_xlfn.NORM.S.INV(RAND())+E2</f>
        <v>5.5177349976562658E-2</v>
      </c>
      <c r="F3">
        <f t="shared" ref="F3:N18" ca="1" si="1">$B$1*($B$2-F2)*$B$6+$B$3*SQRT($B$6)*_xlfn.NORM.S.INV(RAND())+F2</f>
        <v>5.520550518916674E-2</v>
      </c>
      <c r="G3">
        <f t="shared" ca="1" si="1"/>
        <v>5.5201330478309711E-2</v>
      </c>
      <c r="H3">
        <f t="shared" ca="1" si="1"/>
        <v>5.5215961423139358E-2</v>
      </c>
      <c r="I3">
        <f t="shared" ca="1" si="1"/>
        <v>5.5198292486335246E-2</v>
      </c>
      <c r="J3">
        <f t="shared" ca="1" si="1"/>
        <v>5.5211843066555889E-2</v>
      </c>
      <c r="K3">
        <f t="shared" ca="1" si="1"/>
        <v>5.5204852812550338E-2</v>
      </c>
      <c r="L3">
        <f t="shared" ca="1" si="1"/>
        <v>5.518367277977107E-2</v>
      </c>
      <c r="M3">
        <f t="shared" ca="1" si="1"/>
        <v>5.5205356016095657E-2</v>
      </c>
      <c r="N3">
        <f t="shared" ca="1" si="1"/>
        <v>5.5183014786675838E-2</v>
      </c>
      <c r="P3" s="46"/>
      <c r="Q3" s="46"/>
      <c r="R3" s="46"/>
      <c r="S3" s="46"/>
      <c r="T3" s="46"/>
    </row>
    <row r="4" spans="1:20" x14ac:dyDescent="0.2">
      <c r="A4" s="11" t="s">
        <v>32</v>
      </c>
      <c r="B4" s="11">
        <v>5.5199999999999999E-2</v>
      </c>
      <c r="D4">
        <v>2</v>
      </c>
      <c r="E4">
        <f t="shared" ref="E4:N19" ca="1" si="2">$B$1*($B$2-E3)*$B$6+$B$3*SQRT($B$6)*_xlfn.NORM.S.INV(RAND())+E3</f>
        <v>5.5196242656863265E-2</v>
      </c>
      <c r="F4">
        <f t="shared" ca="1" si="1"/>
        <v>5.5197837382240544E-2</v>
      </c>
      <c r="G4">
        <f t="shared" ca="1" si="1"/>
        <v>5.5201004203943756E-2</v>
      </c>
      <c r="H4">
        <f t="shared" ca="1" si="1"/>
        <v>5.5219982331581548E-2</v>
      </c>
      <c r="I4">
        <f t="shared" ca="1" si="1"/>
        <v>5.5191818860075507E-2</v>
      </c>
      <c r="J4">
        <f t="shared" ca="1" si="1"/>
        <v>5.5198425068433421E-2</v>
      </c>
      <c r="K4">
        <f t="shared" ca="1" si="1"/>
        <v>5.5220174861103956E-2</v>
      </c>
      <c r="L4">
        <f t="shared" ca="1" si="1"/>
        <v>5.5181193598421566E-2</v>
      </c>
      <c r="M4">
        <f t="shared" ca="1" si="1"/>
        <v>5.5215234824321412E-2</v>
      </c>
      <c r="N4">
        <f t="shared" ca="1" si="1"/>
        <v>5.5182729091668471E-2</v>
      </c>
    </row>
    <row r="5" spans="1:20" x14ac:dyDescent="0.2">
      <c r="A5" s="11" t="s">
        <v>33</v>
      </c>
      <c r="B5" s="11">
        <v>252</v>
      </c>
      <c r="D5">
        <v>3</v>
      </c>
      <c r="E5">
        <f t="shared" ca="1" si="2"/>
        <v>5.5188735404279141E-2</v>
      </c>
      <c r="F5">
        <f t="shared" ca="1" si="1"/>
        <v>5.5198334657832214E-2</v>
      </c>
      <c r="G5">
        <f t="shared" ca="1" si="1"/>
        <v>5.5184133105516446E-2</v>
      </c>
      <c r="H5">
        <f t="shared" ca="1" si="1"/>
        <v>5.5227856752955211E-2</v>
      </c>
      <c r="I5">
        <f t="shared" ca="1" si="1"/>
        <v>5.5187120023428772E-2</v>
      </c>
      <c r="J5">
        <f t="shared" ca="1" si="1"/>
        <v>5.5201512805302624E-2</v>
      </c>
      <c r="K5">
        <f t="shared" ca="1" si="1"/>
        <v>5.5239523862501437E-2</v>
      </c>
      <c r="L5">
        <f t="shared" ca="1" si="1"/>
        <v>5.5182255679886272E-2</v>
      </c>
      <c r="M5">
        <f t="shared" ca="1" si="1"/>
        <v>5.5214451543791579E-2</v>
      </c>
      <c r="N5">
        <f t="shared" ca="1" si="1"/>
        <v>5.5180429840501755E-2</v>
      </c>
    </row>
    <row r="6" spans="1:20" x14ac:dyDescent="0.2">
      <c r="A6" s="11" t="s">
        <v>34</v>
      </c>
      <c r="B6" s="11">
        <f>1/B5</f>
        <v>3.968253968253968E-3</v>
      </c>
      <c r="D6">
        <v>4</v>
      </c>
      <c r="E6">
        <f t="shared" ca="1" si="2"/>
        <v>5.5174899587776195E-2</v>
      </c>
      <c r="F6">
        <f t="shared" ca="1" si="1"/>
        <v>5.5193797105992252E-2</v>
      </c>
      <c r="G6">
        <f t="shared" ca="1" si="1"/>
        <v>5.5191242940724555E-2</v>
      </c>
      <c r="H6">
        <f t="shared" ca="1" si="1"/>
        <v>5.5220588836459021E-2</v>
      </c>
      <c r="I6">
        <f t="shared" ca="1" si="1"/>
        <v>5.5184066615590638E-2</v>
      </c>
      <c r="J6">
        <f t="shared" ca="1" si="1"/>
        <v>5.5187605552135414E-2</v>
      </c>
      <c r="K6">
        <f t="shared" ca="1" si="1"/>
        <v>5.5254680524113996E-2</v>
      </c>
      <c r="L6">
        <f t="shared" ca="1" si="1"/>
        <v>5.5199057168815936E-2</v>
      </c>
      <c r="M6">
        <f t="shared" ca="1" si="1"/>
        <v>5.5201449840637219E-2</v>
      </c>
      <c r="N6">
        <f t="shared" ca="1" si="1"/>
        <v>5.5161625017079483E-2</v>
      </c>
    </row>
    <row r="7" spans="1:20" x14ac:dyDescent="0.2">
      <c r="D7">
        <v>5</v>
      </c>
      <c r="E7">
        <f t="shared" ca="1" si="2"/>
        <v>5.5178474272664466E-2</v>
      </c>
      <c r="F7">
        <f t="shared" ca="1" si="1"/>
        <v>5.5190613051514896E-2</v>
      </c>
      <c r="G7">
        <f t="shared" ca="1" si="1"/>
        <v>5.5189759936759224E-2</v>
      </c>
      <c r="H7">
        <f t="shared" ca="1" si="1"/>
        <v>5.5234617374830215E-2</v>
      </c>
      <c r="I7">
        <f t="shared" ca="1" si="1"/>
        <v>5.5185355492498311E-2</v>
      </c>
      <c r="J7">
        <f t="shared" ca="1" si="1"/>
        <v>5.5166731775412078E-2</v>
      </c>
      <c r="K7">
        <f t="shared" ca="1" si="1"/>
        <v>5.5252964369265072E-2</v>
      </c>
      <c r="L7">
        <f t="shared" ca="1" si="1"/>
        <v>5.5203060786012038E-2</v>
      </c>
      <c r="M7">
        <f t="shared" ca="1" si="1"/>
        <v>5.5227729429742196E-2</v>
      </c>
      <c r="N7">
        <f t="shared" ca="1" si="1"/>
        <v>5.5161138743553842E-2</v>
      </c>
    </row>
    <row r="8" spans="1:20" x14ac:dyDescent="0.2">
      <c r="D8">
        <v>6</v>
      </c>
      <c r="E8">
        <f t="shared" ca="1" si="2"/>
        <v>5.5161473975696908E-2</v>
      </c>
      <c r="F8">
        <f t="shared" ca="1" si="1"/>
        <v>5.5208479920593641E-2</v>
      </c>
      <c r="G8">
        <f t="shared" ca="1" si="1"/>
        <v>5.5176252650333192E-2</v>
      </c>
      <c r="H8">
        <f t="shared" ca="1" si="1"/>
        <v>5.5212576911636072E-2</v>
      </c>
      <c r="I8">
        <f t="shared" ca="1" si="1"/>
        <v>5.5178090821505411E-2</v>
      </c>
      <c r="J8">
        <f t="shared" ca="1" si="1"/>
        <v>5.5165056042032638E-2</v>
      </c>
      <c r="K8">
        <f t="shared" ca="1" si="1"/>
        <v>5.5236080092991441E-2</v>
      </c>
      <c r="L8">
        <f t="shared" ca="1" si="1"/>
        <v>5.5195550380057586E-2</v>
      </c>
      <c r="M8">
        <f t="shared" ca="1" si="1"/>
        <v>5.5217399757388944E-2</v>
      </c>
      <c r="N8">
        <f t="shared" ca="1" si="1"/>
        <v>5.5144529636323131E-2</v>
      </c>
    </row>
    <row r="9" spans="1:20" x14ac:dyDescent="0.2">
      <c r="A9">
        <f ca="1">_xlfn.NORM.S.INV(RAND())</f>
        <v>-1.0854129740105414</v>
      </c>
      <c r="D9">
        <v>7</v>
      </c>
      <c r="E9">
        <f t="shared" ca="1" si="2"/>
        <v>5.5174092717791751E-2</v>
      </c>
      <c r="F9">
        <f t="shared" ca="1" si="1"/>
        <v>5.5206311705746434E-2</v>
      </c>
      <c r="G9">
        <f t="shared" ca="1" si="1"/>
        <v>5.5185413891397958E-2</v>
      </c>
      <c r="H9">
        <f t="shared" ca="1" si="1"/>
        <v>5.5209477633012281E-2</v>
      </c>
      <c r="I9">
        <f t="shared" ca="1" si="1"/>
        <v>5.5181665747565244E-2</v>
      </c>
      <c r="J9">
        <f t="shared" ca="1" si="1"/>
        <v>5.5159323771443114E-2</v>
      </c>
      <c r="K9">
        <f t="shared" ca="1" si="1"/>
        <v>5.5225387790556454E-2</v>
      </c>
      <c r="L9">
        <f t="shared" ca="1" si="1"/>
        <v>5.5204815905380615E-2</v>
      </c>
      <c r="M9">
        <f t="shared" ca="1" si="1"/>
        <v>5.5223338469278432E-2</v>
      </c>
      <c r="N9">
        <f t="shared" ca="1" si="1"/>
        <v>5.5132602177592506E-2</v>
      </c>
    </row>
    <row r="10" spans="1:20" x14ac:dyDescent="0.2">
      <c r="D10">
        <v>8</v>
      </c>
      <c r="E10">
        <f t="shared" ca="1" si="2"/>
        <v>5.5180509875690426E-2</v>
      </c>
      <c r="F10">
        <f t="shared" ca="1" si="1"/>
        <v>5.5213825281279758E-2</v>
      </c>
      <c r="G10">
        <f t="shared" ca="1" si="1"/>
        <v>5.5198359561878935E-2</v>
      </c>
      <c r="H10">
        <f t="shared" ca="1" si="1"/>
        <v>5.5197669418506748E-2</v>
      </c>
      <c r="I10">
        <f t="shared" ca="1" si="1"/>
        <v>5.5178481650910764E-2</v>
      </c>
      <c r="J10">
        <f t="shared" ca="1" si="1"/>
        <v>5.5150261394966947E-2</v>
      </c>
      <c r="K10">
        <f t="shared" ca="1" si="1"/>
        <v>5.5214243862707416E-2</v>
      </c>
      <c r="L10">
        <f t="shared" ca="1" si="1"/>
        <v>5.5187981729012812E-2</v>
      </c>
      <c r="M10">
        <f t="shared" ca="1" si="1"/>
        <v>5.5232115532859928E-2</v>
      </c>
      <c r="N10">
        <f t="shared" ca="1" si="1"/>
        <v>5.5118070324879809E-2</v>
      </c>
    </row>
    <row r="11" spans="1:20" x14ac:dyDescent="0.2">
      <c r="D11">
        <v>9</v>
      </c>
      <c r="E11">
        <f t="shared" ca="1" si="2"/>
        <v>5.5179570723088163E-2</v>
      </c>
      <c r="F11">
        <f t="shared" ca="1" si="1"/>
        <v>5.5196443594564146E-2</v>
      </c>
      <c r="G11">
        <f t="shared" ca="1" si="1"/>
        <v>5.5199926472854093E-2</v>
      </c>
      <c r="H11">
        <f t="shared" ca="1" si="1"/>
        <v>5.5183086984384268E-2</v>
      </c>
      <c r="I11">
        <f t="shared" ca="1" si="1"/>
        <v>5.519040510121935E-2</v>
      </c>
      <c r="J11">
        <f t="shared" ca="1" si="1"/>
        <v>5.5143958323752539E-2</v>
      </c>
      <c r="K11">
        <f t="shared" ca="1" si="1"/>
        <v>5.5217615398107239E-2</v>
      </c>
      <c r="L11">
        <f t="shared" ca="1" si="1"/>
        <v>5.5191279238105427E-2</v>
      </c>
      <c r="M11">
        <f t="shared" ca="1" si="1"/>
        <v>5.5215407209206861E-2</v>
      </c>
      <c r="N11">
        <f t="shared" ca="1" si="1"/>
        <v>5.5106895822406597E-2</v>
      </c>
    </row>
    <row r="12" spans="1:20" x14ac:dyDescent="0.2">
      <c r="D12">
        <v>10</v>
      </c>
      <c r="E12">
        <f t="shared" ca="1" si="2"/>
        <v>5.5194029041006051E-2</v>
      </c>
      <c r="F12">
        <f t="shared" ca="1" si="1"/>
        <v>5.5203211615745783E-2</v>
      </c>
      <c r="G12">
        <f t="shared" ca="1" si="1"/>
        <v>5.5195495119383292E-2</v>
      </c>
      <c r="H12">
        <f t="shared" ca="1" si="1"/>
        <v>5.5187160380556433E-2</v>
      </c>
      <c r="I12">
        <f t="shared" ca="1" si="1"/>
        <v>5.5191002383029507E-2</v>
      </c>
      <c r="J12">
        <f t="shared" ca="1" si="1"/>
        <v>5.5164757114716953E-2</v>
      </c>
      <c r="K12">
        <f t="shared" ca="1" si="1"/>
        <v>5.5228201430873244E-2</v>
      </c>
      <c r="L12">
        <f t="shared" ca="1" si="1"/>
        <v>5.5206886935987569E-2</v>
      </c>
      <c r="M12">
        <f t="shared" ca="1" si="1"/>
        <v>5.5221051761441084E-2</v>
      </c>
      <c r="N12">
        <f t="shared" ca="1" si="1"/>
        <v>5.5111606244387087E-2</v>
      </c>
    </row>
    <row r="13" spans="1:20" x14ac:dyDescent="0.2">
      <c r="D13">
        <v>11</v>
      </c>
      <c r="E13">
        <f t="shared" ca="1" si="2"/>
        <v>5.5196799493059105E-2</v>
      </c>
      <c r="F13">
        <f t="shared" ca="1" si="1"/>
        <v>5.5207836847675343E-2</v>
      </c>
      <c r="G13">
        <f t="shared" ca="1" si="1"/>
        <v>5.5211134723318067E-2</v>
      </c>
      <c r="H13">
        <f t="shared" ca="1" si="1"/>
        <v>5.5195871191581043E-2</v>
      </c>
      <c r="I13">
        <f t="shared" ca="1" si="1"/>
        <v>5.5199305505105961E-2</v>
      </c>
      <c r="J13">
        <f t="shared" ca="1" si="1"/>
        <v>5.5166827871327109E-2</v>
      </c>
      <c r="K13">
        <f t="shared" ca="1" si="1"/>
        <v>5.5239947383684304E-2</v>
      </c>
      <c r="L13">
        <f t="shared" ca="1" si="1"/>
        <v>5.5199385372544735E-2</v>
      </c>
      <c r="M13">
        <f t="shared" ca="1" si="1"/>
        <v>5.5230383567486052E-2</v>
      </c>
      <c r="N13">
        <f t="shared" ca="1" si="1"/>
        <v>5.5121216934047632E-2</v>
      </c>
    </row>
    <row r="14" spans="1:20" x14ac:dyDescent="0.2">
      <c r="D14">
        <v>12</v>
      </c>
      <c r="E14">
        <f t="shared" ca="1" si="2"/>
        <v>5.5201269484021404E-2</v>
      </c>
      <c r="F14">
        <f t="shared" ca="1" si="1"/>
        <v>5.5216192141776733E-2</v>
      </c>
      <c r="G14">
        <f t="shared" ca="1" si="1"/>
        <v>5.5224063579025331E-2</v>
      </c>
      <c r="H14">
        <f t="shared" ca="1" si="1"/>
        <v>5.5195321006479503E-2</v>
      </c>
      <c r="I14">
        <f t="shared" ca="1" si="1"/>
        <v>5.5189099541729701E-2</v>
      </c>
      <c r="J14">
        <f t="shared" ca="1" si="1"/>
        <v>5.5173551531839352E-2</v>
      </c>
      <c r="K14">
        <f t="shared" ca="1" si="1"/>
        <v>5.5253540776974357E-2</v>
      </c>
      <c r="L14">
        <f t="shared" ca="1" si="1"/>
        <v>5.5195665401616169E-2</v>
      </c>
      <c r="M14">
        <f t="shared" ca="1" si="1"/>
        <v>5.5242086615467333E-2</v>
      </c>
      <c r="N14">
        <f t="shared" ca="1" si="1"/>
        <v>5.5143616263702226E-2</v>
      </c>
    </row>
    <row r="15" spans="1:20" x14ac:dyDescent="0.2">
      <c r="D15">
        <v>13</v>
      </c>
      <c r="E15">
        <f t="shared" ca="1" si="2"/>
        <v>5.5204773189259849E-2</v>
      </c>
      <c r="F15">
        <f t="shared" ca="1" si="1"/>
        <v>5.5240050139009039E-2</v>
      </c>
      <c r="G15">
        <f t="shared" ca="1" si="1"/>
        <v>5.522088411969743E-2</v>
      </c>
      <c r="H15">
        <f t="shared" ca="1" si="1"/>
        <v>5.5202183914565411E-2</v>
      </c>
      <c r="I15">
        <f t="shared" ca="1" si="1"/>
        <v>5.5194802393273616E-2</v>
      </c>
      <c r="J15">
        <f t="shared" ca="1" si="1"/>
        <v>5.5153296650020216E-2</v>
      </c>
      <c r="K15">
        <f t="shared" ca="1" si="1"/>
        <v>5.5253641353948259E-2</v>
      </c>
      <c r="L15">
        <f t="shared" ca="1" si="1"/>
        <v>5.5188591585404193E-2</v>
      </c>
      <c r="M15">
        <f t="shared" ca="1" si="1"/>
        <v>5.5251686023764401E-2</v>
      </c>
      <c r="N15">
        <f t="shared" ca="1" si="1"/>
        <v>5.5135985516449389E-2</v>
      </c>
    </row>
    <row r="16" spans="1:20" x14ac:dyDescent="0.2">
      <c r="D16">
        <v>14</v>
      </c>
      <c r="E16">
        <f t="shared" ca="1" si="2"/>
        <v>5.5209082315309035E-2</v>
      </c>
      <c r="F16">
        <f t="shared" ca="1" si="1"/>
        <v>5.5238773905429445E-2</v>
      </c>
      <c r="G16">
        <f t="shared" ca="1" si="1"/>
        <v>5.5230903028940889E-2</v>
      </c>
      <c r="H16">
        <f t="shared" ca="1" si="1"/>
        <v>5.5185494837885707E-2</v>
      </c>
      <c r="I16">
        <f t="shared" ca="1" si="1"/>
        <v>5.5189541755260821E-2</v>
      </c>
      <c r="J16">
        <f t="shared" ca="1" si="1"/>
        <v>5.5170814318383735E-2</v>
      </c>
      <c r="K16">
        <f t="shared" ca="1" si="1"/>
        <v>5.5234448265394538E-2</v>
      </c>
      <c r="L16">
        <f t="shared" ca="1" si="1"/>
        <v>5.5183621816505796E-2</v>
      </c>
      <c r="M16">
        <f t="shared" ca="1" si="1"/>
        <v>5.5267588289191184E-2</v>
      </c>
      <c r="N16">
        <f t="shared" ca="1" si="1"/>
        <v>5.5152631834106236E-2</v>
      </c>
    </row>
    <row r="17" spans="4:14" x14ac:dyDescent="0.2">
      <c r="D17">
        <v>15</v>
      </c>
      <c r="E17">
        <f t="shared" ca="1" si="2"/>
        <v>5.5211869337642723E-2</v>
      </c>
      <c r="F17">
        <f t="shared" ca="1" si="1"/>
        <v>5.5245214223002229E-2</v>
      </c>
      <c r="G17">
        <f t="shared" ca="1" si="1"/>
        <v>5.5228259541732633E-2</v>
      </c>
      <c r="H17">
        <f t="shared" ca="1" si="1"/>
        <v>5.5165843914463407E-2</v>
      </c>
      <c r="I17">
        <f t="shared" ca="1" si="1"/>
        <v>5.5209489400903769E-2</v>
      </c>
      <c r="J17">
        <f t="shared" ca="1" si="1"/>
        <v>5.516284581968374E-2</v>
      </c>
      <c r="K17">
        <f t="shared" ca="1" si="1"/>
        <v>5.5234220176452478E-2</v>
      </c>
      <c r="L17">
        <f t="shared" ca="1" si="1"/>
        <v>5.5179152522879055E-2</v>
      </c>
      <c r="M17">
        <f t="shared" ca="1" si="1"/>
        <v>5.5263509944670171E-2</v>
      </c>
      <c r="N17">
        <f t="shared" ca="1" si="1"/>
        <v>5.5168925607795391E-2</v>
      </c>
    </row>
    <row r="18" spans="4:14" x14ac:dyDescent="0.2">
      <c r="D18">
        <v>16</v>
      </c>
      <c r="E18">
        <f t="shared" ca="1" si="2"/>
        <v>5.5204350594199106E-2</v>
      </c>
      <c r="F18">
        <f t="shared" ca="1" si="1"/>
        <v>5.526076862310756E-2</v>
      </c>
      <c r="G18">
        <f t="shared" ca="1" si="1"/>
        <v>5.5227993501295716E-2</v>
      </c>
      <c r="H18">
        <f t="shared" ca="1" si="1"/>
        <v>5.5166927946924266E-2</v>
      </c>
      <c r="I18">
        <f t="shared" ca="1" si="1"/>
        <v>5.5199674434347611E-2</v>
      </c>
      <c r="J18">
        <f t="shared" ca="1" si="1"/>
        <v>5.515149482100147E-2</v>
      </c>
      <c r="K18">
        <f t="shared" ca="1" si="1"/>
        <v>5.5228755940218192E-2</v>
      </c>
      <c r="L18">
        <f t="shared" ca="1" si="1"/>
        <v>5.5175206673070555E-2</v>
      </c>
      <c r="M18">
        <f t="shared" ca="1" si="1"/>
        <v>5.5265195997457758E-2</v>
      </c>
      <c r="N18">
        <f t="shared" ca="1" si="1"/>
        <v>5.5162938948964096E-2</v>
      </c>
    </row>
    <row r="19" spans="4:14" x14ac:dyDescent="0.2">
      <c r="D19">
        <v>17</v>
      </c>
      <c r="E19">
        <f t="shared" ca="1" si="2"/>
        <v>5.5205888565782395E-2</v>
      </c>
      <c r="F19">
        <f t="shared" ca="1" si="2"/>
        <v>5.5274236576522737E-2</v>
      </c>
      <c r="G19">
        <f t="shared" ca="1" si="2"/>
        <v>5.5237520575504649E-2</v>
      </c>
      <c r="H19">
        <f t="shared" ca="1" si="2"/>
        <v>5.5187692259100793E-2</v>
      </c>
      <c r="I19">
        <f t="shared" ca="1" si="2"/>
        <v>5.5198061984762403E-2</v>
      </c>
      <c r="J19">
        <f t="shared" ca="1" si="2"/>
        <v>5.5169695411052586E-2</v>
      </c>
      <c r="K19">
        <f t="shared" ca="1" si="2"/>
        <v>5.5210247530205925E-2</v>
      </c>
      <c r="L19">
        <f t="shared" ca="1" si="2"/>
        <v>5.5179394027464197E-2</v>
      </c>
      <c r="M19">
        <f t="shared" ca="1" si="2"/>
        <v>5.527034136537342E-2</v>
      </c>
      <c r="N19">
        <f t="shared" ca="1" si="2"/>
        <v>5.5148807152347504E-2</v>
      </c>
    </row>
    <row r="20" spans="4:14" x14ac:dyDescent="0.2">
      <c r="D20">
        <v>18</v>
      </c>
      <c r="E20">
        <f t="shared" ref="E20:N35" ca="1" si="3">$B$1*($B$2-E19)*$B$6+$B$3*SQRT($B$6)*_xlfn.NORM.S.INV(RAND())+E19</f>
        <v>5.5217407587420456E-2</v>
      </c>
      <c r="F20">
        <f t="shared" ca="1" si="3"/>
        <v>5.5274733166762798E-2</v>
      </c>
      <c r="G20">
        <f t="shared" ca="1" si="3"/>
        <v>5.5244682625968856E-2</v>
      </c>
      <c r="H20">
        <f t="shared" ca="1" si="3"/>
        <v>5.5184299030298693E-2</v>
      </c>
      <c r="I20">
        <f t="shared" ca="1" si="3"/>
        <v>5.5216830844371484E-2</v>
      </c>
      <c r="J20">
        <f t="shared" ca="1" si="3"/>
        <v>5.5171750739519521E-2</v>
      </c>
      <c r="K20">
        <f t="shared" ca="1" si="3"/>
        <v>5.5225855523980592E-2</v>
      </c>
      <c r="L20">
        <f t="shared" ca="1" si="3"/>
        <v>5.5190539120463879E-2</v>
      </c>
      <c r="M20">
        <f t="shared" ca="1" si="3"/>
        <v>5.5293926922024943E-2</v>
      </c>
      <c r="N20">
        <f t="shared" ca="1" si="3"/>
        <v>5.5164641998633794E-2</v>
      </c>
    </row>
    <row r="21" spans="4:14" x14ac:dyDescent="0.2">
      <c r="D21">
        <v>19</v>
      </c>
      <c r="E21">
        <f t="shared" ca="1" si="3"/>
        <v>5.5180560234672028E-2</v>
      </c>
      <c r="F21">
        <f t="shared" ca="1" si="3"/>
        <v>5.5269730657879095E-2</v>
      </c>
      <c r="G21">
        <f t="shared" ca="1" si="3"/>
        <v>5.5237441152351761E-2</v>
      </c>
      <c r="H21">
        <f t="shared" ca="1" si="3"/>
        <v>5.5184258512914232E-2</v>
      </c>
      <c r="I21">
        <f t="shared" ca="1" si="3"/>
        <v>5.5208343768735957E-2</v>
      </c>
      <c r="J21">
        <f t="shared" ca="1" si="3"/>
        <v>5.5160085433910148E-2</v>
      </c>
      <c r="K21">
        <f t="shared" ca="1" si="3"/>
        <v>5.522132430238158E-2</v>
      </c>
      <c r="L21">
        <f t="shared" ca="1" si="3"/>
        <v>5.518314020501356E-2</v>
      </c>
      <c r="M21">
        <f t="shared" ca="1" si="3"/>
        <v>5.5284381713610449E-2</v>
      </c>
      <c r="N21">
        <f t="shared" ca="1" si="3"/>
        <v>5.5161829152028503E-2</v>
      </c>
    </row>
    <row r="22" spans="4:14" x14ac:dyDescent="0.2">
      <c r="D22">
        <v>20</v>
      </c>
      <c r="E22">
        <f t="shared" ca="1" si="3"/>
        <v>5.5183730643883898E-2</v>
      </c>
      <c r="F22">
        <f t="shared" ca="1" si="3"/>
        <v>5.5273468169305479E-2</v>
      </c>
      <c r="G22">
        <f t="shared" ca="1" si="3"/>
        <v>5.5243491192849478E-2</v>
      </c>
      <c r="H22">
        <f t="shared" ca="1" si="3"/>
        <v>5.5175836145320026E-2</v>
      </c>
      <c r="I22">
        <f t="shared" ca="1" si="3"/>
        <v>5.5216776944979187E-2</v>
      </c>
      <c r="J22">
        <f t="shared" ca="1" si="3"/>
        <v>5.5150524325034742E-2</v>
      </c>
      <c r="K22">
        <f t="shared" ca="1" si="3"/>
        <v>5.5212057177272456E-2</v>
      </c>
      <c r="L22">
        <f t="shared" ca="1" si="3"/>
        <v>5.5194680265724293E-2</v>
      </c>
      <c r="M22">
        <f t="shared" ca="1" si="3"/>
        <v>5.5301991580696534E-2</v>
      </c>
      <c r="N22">
        <f t="shared" ca="1" si="3"/>
        <v>5.5174234596010605E-2</v>
      </c>
    </row>
    <row r="23" spans="4:14" x14ac:dyDescent="0.2">
      <c r="D23">
        <v>21</v>
      </c>
      <c r="E23">
        <f t="shared" ca="1" si="3"/>
        <v>5.5184908489499453E-2</v>
      </c>
      <c r="F23">
        <f t="shared" ca="1" si="3"/>
        <v>5.5290196634976647E-2</v>
      </c>
      <c r="G23">
        <f t="shared" ca="1" si="3"/>
        <v>5.524555742279879E-2</v>
      </c>
      <c r="H23">
        <f t="shared" ca="1" si="3"/>
        <v>5.5182012764389582E-2</v>
      </c>
      <c r="I23">
        <f t="shared" ca="1" si="3"/>
        <v>5.5217694183644583E-2</v>
      </c>
      <c r="J23">
        <f t="shared" ca="1" si="3"/>
        <v>5.5161708949285529E-2</v>
      </c>
      <c r="K23">
        <f t="shared" ca="1" si="3"/>
        <v>5.5203150449797019E-2</v>
      </c>
      <c r="L23">
        <f t="shared" ca="1" si="3"/>
        <v>5.5204455348737198E-2</v>
      </c>
      <c r="M23">
        <f t="shared" ca="1" si="3"/>
        <v>5.5298405091515471E-2</v>
      </c>
      <c r="N23">
        <f t="shared" ca="1" si="3"/>
        <v>5.5156287410686372E-2</v>
      </c>
    </row>
    <row r="24" spans="4:14" x14ac:dyDescent="0.2">
      <c r="D24">
        <v>22</v>
      </c>
      <c r="E24">
        <f t="shared" ca="1" si="3"/>
        <v>5.5187969723596041E-2</v>
      </c>
      <c r="F24">
        <f t="shared" ca="1" si="3"/>
        <v>5.5272424187312791E-2</v>
      </c>
      <c r="G24">
        <f t="shared" ca="1" si="3"/>
        <v>5.5244063991516337E-2</v>
      </c>
      <c r="H24">
        <f t="shared" ca="1" si="3"/>
        <v>5.5176027426982986E-2</v>
      </c>
      <c r="I24">
        <f t="shared" ca="1" si="3"/>
        <v>5.5209699050227233E-2</v>
      </c>
      <c r="J24">
        <f t="shared" ca="1" si="3"/>
        <v>5.515927126013731E-2</v>
      </c>
      <c r="K24">
        <f t="shared" ca="1" si="3"/>
        <v>5.5217724756351554E-2</v>
      </c>
      <c r="L24">
        <f t="shared" ca="1" si="3"/>
        <v>5.5197117040337924E-2</v>
      </c>
      <c r="M24">
        <f t="shared" ca="1" si="3"/>
        <v>5.5300926450136713E-2</v>
      </c>
      <c r="N24">
        <f t="shared" ca="1" si="3"/>
        <v>5.5156268496042937E-2</v>
      </c>
    </row>
    <row r="25" spans="4:14" x14ac:dyDescent="0.2">
      <c r="D25">
        <v>23</v>
      </c>
      <c r="E25">
        <f t="shared" ca="1" si="3"/>
        <v>5.5179812572890501E-2</v>
      </c>
      <c r="F25">
        <f t="shared" ca="1" si="3"/>
        <v>5.5279539945187327E-2</v>
      </c>
      <c r="G25">
        <f t="shared" ca="1" si="3"/>
        <v>5.5239789403349761E-2</v>
      </c>
      <c r="H25">
        <f t="shared" ca="1" si="3"/>
        <v>5.518640742941542E-2</v>
      </c>
      <c r="I25">
        <f t="shared" ca="1" si="3"/>
        <v>5.5218784501670032E-2</v>
      </c>
      <c r="J25">
        <f t="shared" ca="1" si="3"/>
        <v>5.5146905505790662E-2</v>
      </c>
      <c r="K25">
        <f t="shared" ca="1" si="3"/>
        <v>5.5237159088359584E-2</v>
      </c>
      <c r="L25">
        <f t="shared" ca="1" si="3"/>
        <v>5.5191345200885054E-2</v>
      </c>
      <c r="M25">
        <f t="shared" ca="1" si="3"/>
        <v>5.5282610723106869E-2</v>
      </c>
      <c r="N25">
        <f t="shared" ca="1" si="3"/>
        <v>5.5167854785039272E-2</v>
      </c>
    </row>
    <row r="26" spans="4:14" x14ac:dyDescent="0.2">
      <c r="D26">
        <v>24</v>
      </c>
      <c r="E26">
        <f t="shared" ca="1" si="3"/>
        <v>5.5157944810346859E-2</v>
      </c>
      <c r="F26">
        <f t="shared" ca="1" si="3"/>
        <v>5.5273434109043021E-2</v>
      </c>
      <c r="G26">
        <f t="shared" ca="1" si="3"/>
        <v>5.5248017210945077E-2</v>
      </c>
      <c r="H26">
        <f t="shared" ca="1" si="3"/>
        <v>5.5193745027805823E-2</v>
      </c>
      <c r="I26">
        <f t="shared" ca="1" si="3"/>
        <v>5.5215020220866655E-2</v>
      </c>
      <c r="J26">
        <f t="shared" ca="1" si="3"/>
        <v>5.5141284062571169E-2</v>
      </c>
      <c r="K26">
        <f t="shared" ca="1" si="3"/>
        <v>5.5246688332615423E-2</v>
      </c>
      <c r="L26">
        <f t="shared" ca="1" si="3"/>
        <v>5.5175397913785861E-2</v>
      </c>
      <c r="M26">
        <f t="shared" ca="1" si="3"/>
        <v>5.5297731900080908E-2</v>
      </c>
      <c r="N26">
        <f t="shared" ca="1" si="3"/>
        <v>5.5180995441109951E-2</v>
      </c>
    </row>
    <row r="27" spans="4:14" x14ac:dyDescent="0.2">
      <c r="D27">
        <v>25</v>
      </c>
      <c r="E27">
        <f t="shared" ca="1" si="3"/>
        <v>5.5166526423233726E-2</v>
      </c>
      <c r="F27">
        <f t="shared" ca="1" si="3"/>
        <v>5.5277206487464342E-2</v>
      </c>
      <c r="G27">
        <f t="shared" ca="1" si="3"/>
        <v>5.5234842783037953E-2</v>
      </c>
      <c r="H27">
        <f t="shared" ca="1" si="3"/>
        <v>5.518373459579913E-2</v>
      </c>
      <c r="I27">
        <f t="shared" ca="1" si="3"/>
        <v>5.5198757144910009E-2</v>
      </c>
      <c r="J27">
        <f t="shared" ca="1" si="3"/>
        <v>5.5141965077240965E-2</v>
      </c>
      <c r="K27">
        <f t="shared" ca="1" si="3"/>
        <v>5.524070064971616E-2</v>
      </c>
      <c r="L27">
        <f t="shared" ca="1" si="3"/>
        <v>5.5162299543431104E-2</v>
      </c>
      <c r="M27">
        <f t="shared" ca="1" si="3"/>
        <v>5.5307422976964601E-2</v>
      </c>
      <c r="N27">
        <f t="shared" ca="1" si="3"/>
        <v>5.5198064307819053E-2</v>
      </c>
    </row>
    <row r="28" spans="4:14" x14ac:dyDescent="0.2">
      <c r="D28">
        <v>26</v>
      </c>
      <c r="E28">
        <f t="shared" ca="1" si="3"/>
        <v>5.5148525927020409E-2</v>
      </c>
      <c r="F28">
        <f t="shared" ca="1" si="3"/>
        <v>5.5269709889337472E-2</v>
      </c>
      <c r="G28">
        <f t="shared" ca="1" si="3"/>
        <v>5.5243557581772518E-2</v>
      </c>
      <c r="H28">
        <f t="shared" ca="1" si="3"/>
        <v>5.5192889727540759E-2</v>
      </c>
      <c r="I28">
        <f t="shared" ca="1" si="3"/>
        <v>5.5193175234452024E-2</v>
      </c>
      <c r="J28">
        <f t="shared" ca="1" si="3"/>
        <v>5.5145355427464328E-2</v>
      </c>
      <c r="K28">
        <f t="shared" ca="1" si="3"/>
        <v>5.5248410610262338E-2</v>
      </c>
      <c r="L28">
        <f t="shared" ca="1" si="3"/>
        <v>5.5160874994054067E-2</v>
      </c>
      <c r="M28">
        <f t="shared" ca="1" si="3"/>
        <v>5.5328406989203022E-2</v>
      </c>
      <c r="N28">
        <f t="shared" ca="1" si="3"/>
        <v>5.5219048019219251E-2</v>
      </c>
    </row>
    <row r="29" spans="4:14" x14ac:dyDescent="0.2">
      <c r="D29">
        <v>27</v>
      </c>
      <c r="E29">
        <f t="shared" ca="1" si="3"/>
        <v>5.5151350656600359E-2</v>
      </c>
      <c r="F29">
        <f t="shared" ca="1" si="3"/>
        <v>5.526541844251797E-2</v>
      </c>
      <c r="G29">
        <f t="shared" ca="1" si="3"/>
        <v>5.5238903457735369E-2</v>
      </c>
      <c r="H29">
        <f t="shared" ca="1" si="3"/>
        <v>5.5188543357360925E-2</v>
      </c>
      <c r="I29">
        <f t="shared" ca="1" si="3"/>
        <v>5.5206336004608537E-2</v>
      </c>
      <c r="J29">
        <f t="shared" ca="1" si="3"/>
        <v>5.5157189038353524E-2</v>
      </c>
      <c r="K29">
        <f t="shared" ca="1" si="3"/>
        <v>5.525921069966986E-2</v>
      </c>
      <c r="L29">
        <f t="shared" ca="1" si="3"/>
        <v>5.5161673696974722E-2</v>
      </c>
      <c r="M29">
        <f t="shared" ca="1" si="3"/>
        <v>5.5324296174399969E-2</v>
      </c>
      <c r="N29">
        <f t="shared" ca="1" si="3"/>
        <v>5.5202285536574615E-2</v>
      </c>
    </row>
    <row r="30" spans="4:14" x14ac:dyDescent="0.2">
      <c r="D30">
        <v>28</v>
      </c>
      <c r="E30">
        <f t="shared" ca="1" si="3"/>
        <v>5.5150733075423529E-2</v>
      </c>
      <c r="F30">
        <f t="shared" ca="1" si="3"/>
        <v>5.5261940644745274E-2</v>
      </c>
      <c r="G30">
        <f t="shared" ca="1" si="3"/>
        <v>5.5254007801817058E-2</v>
      </c>
      <c r="H30">
        <f t="shared" ca="1" si="3"/>
        <v>5.5192784612992478E-2</v>
      </c>
      <c r="I30">
        <f t="shared" ca="1" si="3"/>
        <v>5.5208993614053348E-2</v>
      </c>
      <c r="J30">
        <f t="shared" ca="1" si="3"/>
        <v>5.5156656803211884E-2</v>
      </c>
      <c r="K30">
        <f t="shared" ca="1" si="3"/>
        <v>5.5265973244273917E-2</v>
      </c>
      <c r="L30">
        <f t="shared" ca="1" si="3"/>
        <v>5.5180101163085096E-2</v>
      </c>
      <c r="M30">
        <f t="shared" ca="1" si="3"/>
        <v>5.5321066050353883E-2</v>
      </c>
      <c r="N30">
        <f t="shared" ca="1" si="3"/>
        <v>5.5214341281329495E-2</v>
      </c>
    </row>
    <row r="31" spans="4:14" x14ac:dyDescent="0.2">
      <c r="D31">
        <v>29</v>
      </c>
      <c r="E31">
        <f t="shared" ca="1" si="3"/>
        <v>5.5153103604221689E-2</v>
      </c>
      <c r="F31">
        <f t="shared" ca="1" si="3"/>
        <v>5.525921791335163E-2</v>
      </c>
      <c r="G31">
        <f t="shared" ca="1" si="3"/>
        <v>5.5256073144452758E-2</v>
      </c>
      <c r="H31">
        <f t="shared" ca="1" si="3"/>
        <v>5.5200345269197676E-2</v>
      </c>
      <c r="I31">
        <f t="shared" ca="1" si="3"/>
        <v>5.5213533120194426E-2</v>
      </c>
      <c r="J31">
        <f t="shared" ca="1" si="3"/>
        <v>5.5155588951578779E-2</v>
      </c>
      <c r="K31">
        <f t="shared" ca="1" si="3"/>
        <v>5.526896127570672E-2</v>
      </c>
      <c r="L31">
        <f t="shared" ca="1" si="3"/>
        <v>5.5177471753002243E-2</v>
      </c>
      <c r="M31">
        <f t="shared" ca="1" si="3"/>
        <v>5.5341679720703328E-2</v>
      </c>
      <c r="N31">
        <f t="shared" ca="1" si="3"/>
        <v>5.5207816570498502E-2</v>
      </c>
    </row>
    <row r="32" spans="4:14" x14ac:dyDescent="0.2">
      <c r="D32">
        <v>30</v>
      </c>
      <c r="E32">
        <f t="shared" ca="1" si="3"/>
        <v>5.5139715517456375E-2</v>
      </c>
      <c r="F32">
        <f t="shared" ca="1" si="3"/>
        <v>5.5261693583301713E-2</v>
      </c>
      <c r="G32">
        <f t="shared" ca="1" si="3"/>
        <v>5.5265998490689347E-2</v>
      </c>
      <c r="H32">
        <f t="shared" ca="1" si="3"/>
        <v>5.5202662053514658E-2</v>
      </c>
      <c r="I32">
        <f t="shared" ca="1" si="3"/>
        <v>5.5218597253664112E-2</v>
      </c>
      <c r="J32">
        <f t="shared" ca="1" si="3"/>
        <v>5.5162790832024869E-2</v>
      </c>
      <c r="K32">
        <f t="shared" ca="1" si="3"/>
        <v>5.5274598501170676E-2</v>
      </c>
      <c r="L32">
        <f t="shared" ca="1" si="3"/>
        <v>5.5164769540084396E-2</v>
      </c>
      <c r="M32">
        <f t="shared" ca="1" si="3"/>
        <v>5.5333445109749239E-2</v>
      </c>
      <c r="N32">
        <f t="shared" ca="1" si="3"/>
        <v>5.5199155558177074E-2</v>
      </c>
    </row>
    <row r="33" spans="4:14" x14ac:dyDescent="0.2">
      <c r="D33">
        <v>31</v>
      </c>
      <c r="E33">
        <f t="shared" ca="1" si="3"/>
        <v>5.5142594917691863E-2</v>
      </c>
      <c r="F33">
        <f t="shared" ca="1" si="3"/>
        <v>5.5285322363796512E-2</v>
      </c>
      <c r="G33">
        <f t="shared" ca="1" si="3"/>
        <v>5.5266666296160435E-2</v>
      </c>
      <c r="H33">
        <f t="shared" ca="1" si="3"/>
        <v>5.5199273198329075E-2</v>
      </c>
      <c r="I33">
        <f t="shared" ca="1" si="3"/>
        <v>5.5221689194929334E-2</v>
      </c>
      <c r="J33">
        <f t="shared" ca="1" si="3"/>
        <v>5.5160361547329811E-2</v>
      </c>
      <c r="K33">
        <f t="shared" ca="1" si="3"/>
        <v>5.5269498875693573E-2</v>
      </c>
      <c r="L33">
        <f t="shared" ca="1" si="3"/>
        <v>5.5175045652828651E-2</v>
      </c>
      <c r="M33">
        <f t="shared" ca="1" si="3"/>
        <v>5.534321892673516E-2</v>
      </c>
      <c r="N33">
        <f t="shared" ca="1" si="3"/>
        <v>5.5195687143553294E-2</v>
      </c>
    </row>
    <row r="34" spans="4:14" x14ac:dyDescent="0.2">
      <c r="D34">
        <v>32</v>
      </c>
      <c r="E34">
        <f t="shared" ca="1" si="3"/>
        <v>5.5146276875635662E-2</v>
      </c>
      <c r="F34">
        <f t="shared" ca="1" si="3"/>
        <v>5.5267292637421708E-2</v>
      </c>
      <c r="G34">
        <f t="shared" ca="1" si="3"/>
        <v>5.5274749227717239E-2</v>
      </c>
      <c r="H34">
        <f t="shared" ca="1" si="3"/>
        <v>5.5216700069685855E-2</v>
      </c>
      <c r="I34">
        <f t="shared" ca="1" si="3"/>
        <v>5.5218417694965598E-2</v>
      </c>
      <c r="J34">
        <f t="shared" ca="1" si="3"/>
        <v>5.5158226518166951E-2</v>
      </c>
      <c r="K34">
        <f t="shared" ca="1" si="3"/>
        <v>5.5289204464828851E-2</v>
      </c>
      <c r="L34">
        <f t="shared" ca="1" si="3"/>
        <v>5.5166181088061664E-2</v>
      </c>
      <c r="M34">
        <f t="shared" ca="1" si="3"/>
        <v>5.5328011222152952E-2</v>
      </c>
      <c r="N34">
        <f t="shared" ca="1" si="3"/>
        <v>5.5202369364799837E-2</v>
      </c>
    </row>
    <row r="35" spans="4:14" x14ac:dyDescent="0.2">
      <c r="D35">
        <v>33</v>
      </c>
      <c r="E35">
        <f t="shared" ca="1" si="3"/>
        <v>5.5157347703807889E-2</v>
      </c>
      <c r="F35">
        <f t="shared" ca="1" si="3"/>
        <v>5.5266113219196548E-2</v>
      </c>
      <c r="G35">
        <f t="shared" ca="1" si="3"/>
        <v>5.5277303512971894E-2</v>
      </c>
      <c r="H35">
        <f t="shared" ca="1" si="3"/>
        <v>5.5224792156791436E-2</v>
      </c>
      <c r="I35">
        <f t="shared" ca="1" si="3"/>
        <v>5.5219620002874024E-2</v>
      </c>
      <c r="J35">
        <f t="shared" ca="1" si="3"/>
        <v>5.5164786759605948E-2</v>
      </c>
      <c r="K35">
        <f t="shared" ca="1" si="3"/>
        <v>5.5275367603849074E-2</v>
      </c>
      <c r="L35">
        <f t="shared" ca="1" si="3"/>
        <v>5.5169597711586388E-2</v>
      </c>
      <c r="M35">
        <f t="shared" ca="1" si="3"/>
        <v>5.5319586076720564E-2</v>
      </c>
      <c r="N35">
        <f t="shared" ca="1" si="3"/>
        <v>5.5212284807158632E-2</v>
      </c>
    </row>
    <row r="36" spans="4:14" x14ac:dyDescent="0.2">
      <c r="D36">
        <v>34</v>
      </c>
      <c r="E36">
        <f t="shared" ref="E36:N51" ca="1" si="4">$B$1*($B$2-E35)*$B$6+$B$3*SQRT($B$6)*_xlfn.NORM.S.INV(RAND())+E35</f>
        <v>5.516134864289092E-2</v>
      </c>
      <c r="F36">
        <f t="shared" ca="1" si="4"/>
        <v>5.5278645360142965E-2</v>
      </c>
      <c r="G36">
        <f t="shared" ca="1" si="4"/>
        <v>5.5279870836088867E-2</v>
      </c>
      <c r="H36">
        <f t="shared" ca="1" si="4"/>
        <v>5.5222326272417438E-2</v>
      </c>
      <c r="I36">
        <f t="shared" ca="1" si="4"/>
        <v>5.5210841816339534E-2</v>
      </c>
      <c r="J36">
        <f t="shared" ca="1" si="4"/>
        <v>5.5162652946552829E-2</v>
      </c>
      <c r="K36">
        <f t="shared" ca="1" si="4"/>
        <v>5.5277288169649497E-2</v>
      </c>
      <c r="L36">
        <f t="shared" ca="1" si="4"/>
        <v>5.5157471088156773E-2</v>
      </c>
      <c r="M36">
        <f t="shared" ca="1" si="4"/>
        <v>5.5340582085996973E-2</v>
      </c>
      <c r="N36">
        <f t="shared" ca="1" si="4"/>
        <v>5.5204079417443791E-2</v>
      </c>
    </row>
    <row r="37" spans="4:14" x14ac:dyDescent="0.2">
      <c r="D37">
        <v>35</v>
      </c>
      <c r="E37">
        <f t="shared" ca="1" si="4"/>
        <v>5.516810311661393E-2</v>
      </c>
      <c r="F37">
        <f t="shared" ca="1" si="4"/>
        <v>5.5286365644621069E-2</v>
      </c>
      <c r="G37">
        <f t="shared" ca="1" si="4"/>
        <v>5.529190024127012E-2</v>
      </c>
      <c r="H37">
        <f t="shared" ca="1" si="4"/>
        <v>5.5224791883192889E-2</v>
      </c>
      <c r="I37">
        <f t="shared" ca="1" si="4"/>
        <v>5.5215329316490321E-2</v>
      </c>
      <c r="J37">
        <f t="shared" ca="1" si="4"/>
        <v>5.5168600153812364E-2</v>
      </c>
      <c r="K37">
        <f t="shared" ca="1" si="4"/>
        <v>5.5276264481477065E-2</v>
      </c>
      <c r="L37">
        <f t="shared" ca="1" si="4"/>
        <v>5.5149764747867355E-2</v>
      </c>
      <c r="M37">
        <f t="shared" ca="1" si="4"/>
        <v>5.5336624533817533E-2</v>
      </c>
      <c r="N37">
        <f t="shared" ca="1" si="4"/>
        <v>5.5205986196354133E-2</v>
      </c>
    </row>
    <row r="38" spans="4:14" x14ac:dyDescent="0.2">
      <c r="D38">
        <v>36</v>
      </c>
      <c r="E38">
        <f t="shared" ca="1" si="4"/>
        <v>5.5147583252235184E-2</v>
      </c>
      <c r="F38">
        <f t="shared" ca="1" si="4"/>
        <v>5.5293476607586933E-2</v>
      </c>
      <c r="G38">
        <f t="shared" ca="1" si="4"/>
        <v>5.5295574679955009E-2</v>
      </c>
      <c r="H38">
        <f t="shared" ca="1" si="4"/>
        <v>5.5222125874234161E-2</v>
      </c>
      <c r="I38">
        <f t="shared" ca="1" si="4"/>
        <v>5.5185614800773997E-2</v>
      </c>
      <c r="J38">
        <f t="shared" ca="1" si="4"/>
        <v>5.5150857600631209E-2</v>
      </c>
      <c r="K38">
        <f t="shared" ca="1" si="4"/>
        <v>5.5264021476744932E-2</v>
      </c>
      <c r="L38">
        <f t="shared" ca="1" si="4"/>
        <v>5.5141264174549148E-2</v>
      </c>
      <c r="M38">
        <f t="shared" ca="1" si="4"/>
        <v>5.5316146348209867E-2</v>
      </c>
      <c r="N38">
        <f t="shared" ca="1" si="4"/>
        <v>5.5180957543737225E-2</v>
      </c>
    </row>
    <row r="39" spans="4:14" x14ac:dyDescent="0.2">
      <c r="D39">
        <v>37</v>
      </c>
      <c r="E39">
        <f t="shared" ca="1" si="4"/>
        <v>5.5147413096458389E-2</v>
      </c>
      <c r="F39">
        <f t="shared" ca="1" si="4"/>
        <v>5.5309979676468779E-2</v>
      </c>
      <c r="G39">
        <f t="shared" ca="1" si="4"/>
        <v>5.5296899794159318E-2</v>
      </c>
      <c r="H39">
        <f t="shared" ca="1" si="4"/>
        <v>5.5226108576816133E-2</v>
      </c>
      <c r="I39">
        <f t="shared" ca="1" si="4"/>
        <v>5.5195458395825424E-2</v>
      </c>
      <c r="J39">
        <f t="shared" ca="1" si="4"/>
        <v>5.5138361750316847E-2</v>
      </c>
      <c r="K39">
        <f t="shared" ca="1" si="4"/>
        <v>5.5266059329474371E-2</v>
      </c>
      <c r="L39">
        <f t="shared" ca="1" si="4"/>
        <v>5.5130532466112901E-2</v>
      </c>
      <c r="M39">
        <f t="shared" ca="1" si="4"/>
        <v>5.5317475960821844E-2</v>
      </c>
      <c r="N39">
        <f t="shared" ca="1" si="4"/>
        <v>5.517291176223954E-2</v>
      </c>
    </row>
    <row r="40" spans="4:14" x14ac:dyDescent="0.2">
      <c r="D40">
        <v>38</v>
      </c>
      <c r="E40">
        <f t="shared" ca="1" si="4"/>
        <v>5.5136834966724911E-2</v>
      </c>
      <c r="F40">
        <f t="shared" ca="1" si="4"/>
        <v>5.5316945811644584E-2</v>
      </c>
      <c r="G40">
        <f t="shared" ca="1" si="4"/>
        <v>5.5294966086523109E-2</v>
      </c>
      <c r="H40">
        <f t="shared" ca="1" si="4"/>
        <v>5.5227097865257112E-2</v>
      </c>
      <c r="I40">
        <f t="shared" ca="1" si="4"/>
        <v>5.5180262916762854E-2</v>
      </c>
      <c r="J40">
        <f t="shared" ca="1" si="4"/>
        <v>5.5125407332988145E-2</v>
      </c>
      <c r="K40">
        <f t="shared" ca="1" si="4"/>
        <v>5.5258991428385258E-2</v>
      </c>
      <c r="L40">
        <f t="shared" ca="1" si="4"/>
        <v>5.5142700190755449E-2</v>
      </c>
      <c r="M40">
        <f t="shared" ca="1" si="4"/>
        <v>5.5309871555013802E-2</v>
      </c>
      <c r="N40">
        <f t="shared" ca="1" si="4"/>
        <v>5.5161169843012586E-2</v>
      </c>
    </row>
    <row r="41" spans="4:14" x14ac:dyDescent="0.2">
      <c r="D41">
        <v>39</v>
      </c>
      <c r="E41">
        <f t="shared" ca="1" si="4"/>
        <v>5.5119091726961701E-2</v>
      </c>
      <c r="F41">
        <f t="shared" ca="1" si="4"/>
        <v>5.5321052522901523E-2</v>
      </c>
      <c r="G41">
        <f t="shared" ca="1" si="4"/>
        <v>5.5286006373719963E-2</v>
      </c>
      <c r="H41">
        <f t="shared" ca="1" si="4"/>
        <v>5.5205478452191425E-2</v>
      </c>
      <c r="I41">
        <f t="shared" ca="1" si="4"/>
        <v>5.5188790744206261E-2</v>
      </c>
      <c r="J41">
        <f t="shared" ca="1" si="4"/>
        <v>5.5129608498593954E-2</v>
      </c>
      <c r="K41">
        <f t="shared" ca="1" si="4"/>
        <v>5.5260401307487758E-2</v>
      </c>
      <c r="L41">
        <f t="shared" ca="1" si="4"/>
        <v>5.5154748162662436E-2</v>
      </c>
      <c r="M41">
        <f t="shared" ca="1" si="4"/>
        <v>5.5325439323952529E-2</v>
      </c>
      <c r="N41">
        <f t="shared" ca="1" si="4"/>
        <v>5.517329764981705E-2</v>
      </c>
    </row>
    <row r="42" spans="4:14" x14ac:dyDescent="0.2">
      <c r="D42">
        <v>40</v>
      </c>
      <c r="E42">
        <f t="shared" ca="1" si="4"/>
        <v>5.5116982850713016E-2</v>
      </c>
      <c r="F42">
        <f t="shared" ca="1" si="4"/>
        <v>5.5318599922071041E-2</v>
      </c>
      <c r="G42">
        <f t="shared" ca="1" si="4"/>
        <v>5.5307518035792445E-2</v>
      </c>
      <c r="H42">
        <f t="shared" ca="1" si="4"/>
        <v>5.5210813435422848E-2</v>
      </c>
      <c r="I42">
        <f t="shared" ca="1" si="4"/>
        <v>5.5178143283693311E-2</v>
      </c>
      <c r="J42">
        <f t="shared" ca="1" si="4"/>
        <v>5.5137628601999542E-2</v>
      </c>
      <c r="K42">
        <f t="shared" ca="1" si="4"/>
        <v>5.5262090868739129E-2</v>
      </c>
      <c r="L42">
        <f t="shared" ca="1" si="4"/>
        <v>5.5147435569360213E-2</v>
      </c>
      <c r="M42">
        <f t="shared" ca="1" si="4"/>
        <v>5.5319892819494801E-2</v>
      </c>
      <c r="N42">
        <f t="shared" ca="1" si="4"/>
        <v>5.5196172843066195E-2</v>
      </c>
    </row>
    <row r="43" spans="4:14" x14ac:dyDescent="0.2">
      <c r="D43">
        <v>41</v>
      </c>
      <c r="E43">
        <f t="shared" ca="1" si="4"/>
        <v>5.5095390146673667E-2</v>
      </c>
      <c r="F43">
        <f t="shared" ca="1" si="4"/>
        <v>5.5322219413121446E-2</v>
      </c>
      <c r="G43">
        <f t="shared" ca="1" si="4"/>
        <v>5.5311354116627881E-2</v>
      </c>
      <c r="H43">
        <f t="shared" ca="1" si="4"/>
        <v>5.5211551070072598E-2</v>
      </c>
      <c r="I43">
        <f t="shared" ca="1" si="4"/>
        <v>5.5165049318073374E-2</v>
      </c>
      <c r="J43">
        <f t="shared" ca="1" si="4"/>
        <v>5.5118981276247439E-2</v>
      </c>
      <c r="K43">
        <f t="shared" ca="1" si="4"/>
        <v>5.5243770390414004E-2</v>
      </c>
      <c r="L43">
        <f t="shared" ca="1" si="4"/>
        <v>5.5153761332848057E-2</v>
      </c>
      <c r="M43">
        <f t="shared" ca="1" si="4"/>
        <v>5.5328895981062221E-2</v>
      </c>
      <c r="N43">
        <f t="shared" ca="1" si="4"/>
        <v>5.5210174839215975E-2</v>
      </c>
    </row>
    <row r="44" spans="4:14" x14ac:dyDescent="0.2">
      <c r="D44">
        <v>42</v>
      </c>
      <c r="E44">
        <f t="shared" ca="1" si="4"/>
        <v>5.5103711011826484E-2</v>
      </c>
      <c r="F44">
        <f t="shared" ca="1" si="4"/>
        <v>5.5339835837238172E-2</v>
      </c>
      <c r="G44">
        <f t="shared" ca="1" si="4"/>
        <v>5.5323054430618447E-2</v>
      </c>
      <c r="H44">
        <f t="shared" ca="1" si="4"/>
        <v>5.5210036666987684E-2</v>
      </c>
      <c r="I44">
        <f t="shared" ca="1" si="4"/>
        <v>5.5148867027051442E-2</v>
      </c>
      <c r="J44">
        <f t="shared" ca="1" si="4"/>
        <v>5.5110815103811051E-2</v>
      </c>
      <c r="K44">
        <f t="shared" ca="1" si="4"/>
        <v>5.5240649741332325E-2</v>
      </c>
      <c r="L44">
        <f t="shared" ca="1" si="4"/>
        <v>5.5156043713334615E-2</v>
      </c>
      <c r="M44">
        <f t="shared" ca="1" si="4"/>
        <v>5.5343167287699238E-2</v>
      </c>
      <c r="N44">
        <f t="shared" ca="1" si="4"/>
        <v>5.5216401771546728E-2</v>
      </c>
    </row>
    <row r="45" spans="4:14" x14ac:dyDescent="0.2">
      <c r="D45">
        <v>43</v>
      </c>
      <c r="E45">
        <f t="shared" ca="1" si="4"/>
        <v>5.5103664622404201E-2</v>
      </c>
      <c r="F45">
        <f t="shared" ca="1" si="4"/>
        <v>5.533690207823911E-2</v>
      </c>
      <c r="G45">
        <f t="shared" ca="1" si="4"/>
        <v>5.5339342811890409E-2</v>
      </c>
      <c r="H45">
        <f t="shared" ca="1" si="4"/>
        <v>5.5199211137355521E-2</v>
      </c>
      <c r="I45">
        <f t="shared" ca="1" si="4"/>
        <v>5.5150381111736799E-2</v>
      </c>
      <c r="J45">
        <f t="shared" ca="1" si="4"/>
        <v>5.5107437312736894E-2</v>
      </c>
      <c r="K45">
        <f t="shared" ca="1" si="4"/>
        <v>5.5225937405826431E-2</v>
      </c>
      <c r="L45">
        <f t="shared" ca="1" si="4"/>
        <v>5.5135961074588055E-2</v>
      </c>
      <c r="M45">
        <f t="shared" ca="1" si="4"/>
        <v>5.5358632153298643E-2</v>
      </c>
      <c r="N45">
        <f t="shared" ca="1" si="4"/>
        <v>5.521584477982161E-2</v>
      </c>
    </row>
    <row r="46" spans="4:14" x14ac:dyDescent="0.2">
      <c r="D46">
        <v>44</v>
      </c>
      <c r="E46">
        <f t="shared" ca="1" si="4"/>
        <v>5.510068166113892E-2</v>
      </c>
      <c r="F46">
        <f t="shared" ca="1" si="4"/>
        <v>5.5351860481075703E-2</v>
      </c>
      <c r="G46">
        <f t="shared" ca="1" si="4"/>
        <v>5.5339424781054664E-2</v>
      </c>
      <c r="H46">
        <f t="shared" ca="1" si="4"/>
        <v>5.5191078354232433E-2</v>
      </c>
      <c r="I46">
        <f t="shared" ca="1" si="4"/>
        <v>5.5158841643314561E-2</v>
      </c>
      <c r="J46">
        <f t="shared" ca="1" si="4"/>
        <v>5.509685267496045E-2</v>
      </c>
      <c r="K46">
        <f t="shared" ca="1" si="4"/>
        <v>5.5212868985554255E-2</v>
      </c>
      <c r="L46">
        <f t="shared" ca="1" si="4"/>
        <v>5.5141127897491322E-2</v>
      </c>
      <c r="M46">
        <f t="shared" ca="1" si="4"/>
        <v>5.5361720762932096E-2</v>
      </c>
      <c r="N46">
        <f t="shared" ca="1" si="4"/>
        <v>5.5217598080593733E-2</v>
      </c>
    </row>
    <row r="47" spans="4:14" x14ac:dyDescent="0.2">
      <c r="D47">
        <v>45</v>
      </c>
      <c r="E47">
        <f t="shared" ca="1" si="4"/>
        <v>5.5098698605558008E-2</v>
      </c>
      <c r="F47">
        <f t="shared" ca="1" si="4"/>
        <v>5.5353172115773092E-2</v>
      </c>
      <c r="G47">
        <f t="shared" ca="1" si="4"/>
        <v>5.5333114772803026E-2</v>
      </c>
      <c r="H47">
        <f t="shared" ca="1" si="4"/>
        <v>5.5194972061383699E-2</v>
      </c>
      <c r="I47">
        <f t="shared" ca="1" si="4"/>
        <v>5.5166873160090196E-2</v>
      </c>
      <c r="J47">
        <f t="shared" ca="1" si="4"/>
        <v>5.5121356041113283E-2</v>
      </c>
      <c r="K47">
        <f t="shared" ca="1" si="4"/>
        <v>5.5201210032583818E-2</v>
      </c>
      <c r="L47">
        <f t="shared" ca="1" si="4"/>
        <v>5.515148421359687E-2</v>
      </c>
      <c r="M47">
        <f t="shared" ca="1" si="4"/>
        <v>5.5358067122644461E-2</v>
      </c>
      <c r="N47">
        <f t="shared" ca="1" si="4"/>
        <v>5.5222136904358919E-2</v>
      </c>
    </row>
    <row r="48" spans="4:14" x14ac:dyDescent="0.2">
      <c r="D48">
        <v>46</v>
      </c>
      <c r="E48">
        <f t="shared" ca="1" si="4"/>
        <v>5.5103933427464682E-2</v>
      </c>
      <c r="F48">
        <f t="shared" ca="1" si="4"/>
        <v>5.5329658678848287E-2</v>
      </c>
      <c r="G48">
        <f t="shared" ca="1" si="4"/>
        <v>5.5357992163310069E-2</v>
      </c>
      <c r="H48">
        <f t="shared" ca="1" si="4"/>
        <v>5.5201622993401339E-2</v>
      </c>
      <c r="I48">
        <f t="shared" ca="1" si="4"/>
        <v>5.5152279477585164E-2</v>
      </c>
      <c r="J48">
        <f t="shared" ca="1" si="4"/>
        <v>5.5123564418024747E-2</v>
      </c>
      <c r="K48">
        <f t="shared" ca="1" si="4"/>
        <v>5.5197414625655652E-2</v>
      </c>
      <c r="L48">
        <f t="shared" ca="1" si="4"/>
        <v>5.5156181809783759E-2</v>
      </c>
      <c r="M48">
        <f t="shared" ca="1" si="4"/>
        <v>5.5363536504723351E-2</v>
      </c>
      <c r="N48">
        <f t="shared" ca="1" si="4"/>
        <v>5.5218576673688159E-2</v>
      </c>
    </row>
    <row r="49" spans="4:14" x14ac:dyDescent="0.2">
      <c r="D49">
        <v>47</v>
      </c>
      <c r="E49">
        <f t="shared" ca="1" si="4"/>
        <v>5.5084115722559085E-2</v>
      </c>
      <c r="F49">
        <f t="shared" ca="1" si="4"/>
        <v>5.5309518342934828E-2</v>
      </c>
      <c r="G49">
        <f t="shared" ca="1" si="4"/>
        <v>5.5366894901040548E-2</v>
      </c>
      <c r="H49">
        <f t="shared" ca="1" si="4"/>
        <v>5.519657065165004E-2</v>
      </c>
      <c r="I49">
        <f t="shared" ca="1" si="4"/>
        <v>5.5155912382161651E-2</v>
      </c>
      <c r="J49">
        <f t="shared" ca="1" si="4"/>
        <v>5.5118148416474701E-2</v>
      </c>
      <c r="K49">
        <f t="shared" ca="1" si="4"/>
        <v>5.5205475869609007E-2</v>
      </c>
      <c r="L49">
        <f t="shared" ca="1" si="4"/>
        <v>5.5169046498679222E-2</v>
      </c>
      <c r="M49">
        <f t="shared" ca="1" si="4"/>
        <v>5.534549117167166E-2</v>
      </c>
      <c r="N49">
        <f t="shared" ca="1" si="4"/>
        <v>5.5225512003440946E-2</v>
      </c>
    </row>
    <row r="50" spans="4:14" x14ac:dyDescent="0.2">
      <c r="D50">
        <v>48</v>
      </c>
      <c r="E50">
        <f t="shared" ca="1" si="4"/>
        <v>5.5078119749645646E-2</v>
      </c>
      <c r="F50">
        <f t="shared" ca="1" si="4"/>
        <v>5.532161914504638E-2</v>
      </c>
      <c r="G50">
        <f t="shared" ca="1" si="4"/>
        <v>5.5376633368923005E-2</v>
      </c>
      <c r="H50">
        <f t="shared" ca="1" si="4"/>
        <v>5.520817005536871E-2</v>
      </c>
      <c r="I50">
        <f t="shared" ca="1" si="4"/>
        <v>5.516856542096879E-2</v>
      </c>
      <c r="J50">
        <f t="shared" ca="1" si="4"/>
        <v>5.5138751269619132E-2</v>
      </c>
      <c r="K50">
        <f t="shared" ca="1" si="4"/>
        <v>5.5223223928842824E-2</v>
      </c>
      <c r="L50">
        <f t="shared" ca="1" si="4"/>
        <v>5.5168114760126154E-2</v>
      </c>
      <c r="M50">
        <f t="shared" ca="1" si="4"/>
        <v>5.5364662477055612E-2</v>
      </c>
      <c r="N50">
        <f t="shared" ca="1" si="4"/>
        <v>5.5226427652198526E-2</v>
      </c>
    </row>
    <row r="51" spans="4:14" x14ac:dyDescent="0.2">
      <c r="D51">
        <v>49</v>
      </c>
      <c r="E51">
        <f t="shared" ca="1" si="4"/>
        <v>5.5059887981286602E-2</v>
      </c>
      <c r="F51">
        <f t="shared" ca="1" si="4"/>
        <v>5.5310488011615914E-2</v>
      </c>
      <c r="G51">
        <f t="shared" ca="1" si="4"/>
        <v>5.5373894073484434E-2</v>
      </c>
      <c r="H51">
        <f t="shared" ca="1" si="4"/>
        <v>5.5196771476313411E-2</v>
      </c>
      <c r="I51">
        <f t="shared" ca="1" si="4"/>
        <v>5.5168672998390816E-2</v>
      </c>
      <c r="J51">
        <f t="shared" ca="1" si="4"/>
        <v>5.5159279236932354E-2</v>
      </c>
      <c r="K51">
        <f t="shared" ca="1" si="4"/>
        <v>5.5218620835096016E-2</v>
      </c>
      <c r="L51">
        <f t="shared" ca="1" si="4"/>
        <v>5.5178418463766574E-2</v>
      </c>
      <c r="M51">
        <f t="shared" ca="1" si="4"/>
        <v>5.5371830920254703E-2</v>
      </c>
      <c r="N51">
        <f t="shared" ca="1" si="4"/>
        <v>5.5232517362287431E-2</v>
      </c>
    </row>
    <row r="52" spans="4:14" x14ac:dyDescent="0.2">
      <c r="D52">
        <v>50</v>
      </c>
      <c r="E52">
        <f t="shared" ref="E52:N67" ca="1" si="5">$B$1*($B$2-E51)*$B$6+$B$3*SQRT($B$6)*_xlfn.NORM.S.INV(RAND())+E51</f>
        <v>5.5062711918699887E-2</v>
      </c>
      <c r="F52">
        <f t="shared" ca="1" si="5"/>
        <v>5.5315960163442833E-2</v>
      </c>
      <c r="G52">
        <f t="shared" ca="1" si="5"/>
        <v>5.5388829088957967E-2</v>
      </c>
      <c r="H52">
        <f t="shared" ca="1" si="5"/>
        <v>5.5182932548077726E-2</v>
      </c>
      <c r="I52">
        <f t="shared" ca="1" si="5"/>
        <v>5.5180588621713489E-2</v>
      </c>
      <c r="J52">
        <f t="shared" ca="1" si="5"/>
        <v>5.5151510336869027E-2</v>
      </c>
      <c r="K52">
        <f t="shared" ca="1" si="5"/>
        <v>5.5233136252258869E-2</v>
      </c>
      <c r="L52">
        <f t="shared" ca="1" si="5"/>
        <v>5.5191803888862238E-2</v>
      </c>
      <c r="M52">
        <f t="shared" ca="1" si="5"/>
        <v>5.537651973869747E-2</v>
      </c>
      <c r="N52">
        <f t="shared" ca="1" si="5"/>
        <v>5.5228347500566446E-2</v>
      </c>
    </row>
    <row r="53" spans="4:14" x14ac:dyDescent="0.2">
      <c r="D53">
        <v>51</v>
      </c>
      <c r="E53">
        <f t="shared" ca="1" si="5"/>
        <v>5.5074761789500687E-2</v>
      </c>
      <c r="F53">
        <f t="shared" ca="1" si="5"/>
        <v>5.5320862330061706E-2</v>
      </c>
      <c r="G53">
        <f t="shared" ca="1" si="5"/>
        <v>5.5393371503801241E-2</v>
      </c>
      <c r="H53">
        <f t="shared" ca="1" si="5"/>
        <v>5.5187439678149201E-2</v>
      </c>
      <c r="I53">
        <f t="shared" ca="1" si="5"/>
        <v>5.5186439039529668E-2</v>
      </c>
      <c r="J53">
        <f t="shared" ca="1" si="5"/>
        <v>5.51339186741635E-2</v>
      </c>
      <c r="K53">
        <f t="shared" ca="1" si="5"/>
        <v>5.5219227928484993E-2</v>
      </c>
      <c r="L53">
        <f t="shared" ca="1" si="5"/>
        <v>5.5196493695048116E-2</v>
      </c>
      <c r="M53">
        <f t="shared" ca="1" si="5"/>
        <v>5.5366054510554576E-2</v>
      </c>
      <c r="N53">
        <f t="shared" ca="1" si="5"/>
        <v>5.5217770115419319E-2</v>
      </c>
    </row>
    <row r="54" spans="4:14" x14ac:dyDescent="0.2">
      <c r="D54">
        <v>52</v>
      </c>
      <c r="E54">
        <f t="shared" ca="1" si="5"/>
        <v>5.5062450977938986E-2</v>
      </c>
      <c r="F54">
        <f t="shared" ca="1" si="5"/>
        <v>5.5318686004120217E-2</v>
      </c>
      <c r="G54">
        <f t="shared" ca="1" si="5"/>
        <v>5.54096209966983E-2</v>
      </c>
      <c r="H54">
        <f t="shared" ca="1" si="5"/>
        <v>5.5187455081893398E-2</v>
      </c>
      <c r="I54">
        <f t="shared" ca="1" si="5"/>
        <v>5.5192894091604112E-2</v>
      </c>
      <c r="J54">
        <f t="shared" ca="1" si="5"/>
        <v>5.5139817996502312E-2</v>
      </c>
      <c r="K54">
        <f t="shared" ca="1" si="5"/>
        <v>5.5220665391608699E-2</v>
      </c>
      <c r="L54">
        <f t="shared" ca="1" si="5"/>
        <v>5.521166504766889E-2</v>
      </c>
      <c r="M54">
        <f t="shared" ca="1" si="5"/>
        <v>5.5357245822248581E-2</v>
      </c>
      <c r="N54">
        <f t="shared" ca="1" si="5"/>
        <v>5.521697368299705E-2</v>
      </c>
    </row>
    <row r="55" spans="4:14" x14ac:dyDescent="0.2">
      <c r="D55">
        <v>53</v>
      </c>
      <c r="E55">
        <f t="shared" ca="1" si="5"/>
        <v>5.5050527709999325E-2</v>
      </c>
      <c r="F55">
        <f t="shared" ca="1" si="5"/>
        <v>5.5323764257311794E-2</v>
      </c>
      <c r="G55">
        <f t="shared" ca="1" si="5"/>
        <v>5.5409642533549706E-2</v>
      </c>
      <c r="H55">
        <f t="shared" ca="1" si="5"/>
        <v>5.5197920269684189E-2</v>
      </c>
      <c r="I55">
        <f t="shared" ca="1" si="5"/>
        <v>5.5212670618078878E-2</v>
      </c>
      <c r="J55">
        <f t="shared" ca="1" si="5"/>
        <v>5.5140851120409902E-2</v>
      </c>
      <c r="K55">
        <f t="shared" ca="1" si="5"/>
        <v>5.5225559765990216E-2</v>
      </c>
      <c r="L55">
        <f t="shared" ca="1" si="5"/>
        <v>5.521369347743886E-2</v>
      </c>
      <c r="M55">
        <f t="shared" ca="1" si="5"/>
        <v>5.5370527613888443E-2</v>
      </c>
      <c r="N55">
        <f t="shared" ca="1" si="5"/>
        <v>5.5203120374478838E-2</v>
      </c>
    </row>
    <row r="56" spans="4:14" x14ac:dyDescent="0.2">
      <c r="D56">
        <v>54</v>
      </c>
      <c r="E56">
        <f t="shared" ca="1" si="5"/>
        <v>5.5050799324027427E-2</v>
      </c>
      <c r="F56">
        <f t="shared" ca="1" si="5"/>
        <v>5.5327714128536126E-2</v>
      </c>
      <c r="G56">
        <f t="shared" ca="1" si="5"/>
        <v>5.5432361514674108E-2</v>
      </c>
      <c r="H56">
        <f t="shared" ca="1" si="5"/>
        <v>5.5192410791824409E-2</v>
      </c>
      <c r="I56">
        <f t="shared" ca="1" si="5"/>
        <v>5.5204804393854195E-2</v>
      </c>
      <c r="J56">
        <f t="shared" ca="1" si="5"/>
        <v>5.514254158784497E-2</v>
      </c>
      <c r="K56">
        <f t="shared" ca="1" si="5"/>
        <v>5.5229420113566241E-2</v>
      </c>
      <c r="L56">
        <f t="shared" ca="1" si="5"/>
        <v>5.5220122925198407E-2</v>
      </c>
      <c r="M56">
        <f t="shared" ca="1" si="5"/>
        <v>5.5388447999092857E-2</v>
      </c>
      <c r="N56">
        <f t="shared" ca="1" si="5"/>
        <v>5.5203348541578427E-2</v>
      </c>
    </row>
    <row r="57" spans="4:14" x14ac:dyDescent="0.2">
      <c r="D57">
        <v>55</v>
      </c>
      <c r="E57">
        <f t="shared" ca="1" si="5"/>
        <v>5.5045746333450288E-2</v>
      </c>
      <c r="F57">
        <f t="shared" ca="1" si="5"/>
        <v>5.5324738499885916E-2</v>
      </c>
      <c r="G57">
        <f t="shared" ca="1" si="5"/>
        <v>5.543685814244699E-2</v>
      </c>
      <c r="H57">
        <f t="shared" ca="1" si="5"/>
        <v>5.5207719222956968E-2</v>
      </c>
      <c r="I57">
        <f t="shared" ca="1" si="5"/>
        <v>5.520568277674439E-2</v>
      </c>
      <c r="J57">
        <f t="shared" ca="1" si="5"/>
        <v>5.5128951669156503E-2</v>
      </c>
      <c r="K57">
        <f t="shared" ca="1" si="5"/>
        <v>5.5230761894923118E-2</v>
      </c>
      <c r="L57">
        <f t="shared" ca="1" si="5"/>
        <v>5.5207450938833204E-2</v>
      </c>
      <c r="M57">
        <f t="shared" ca="1" si="5"/>
        <v>5.5380942634507463E-2</v>
      </c>
      <c r="N57">
        <f t="shared" ca="1" si="5"/>
        <v>5.518585919241796E-2</v>
      </c>
    </row>
    <row r="58" spans="4:14" x14ac:dyDescent="0.2">
      <c r="D58">
        <v>56</v>
      </c>
      <c r="E58">
        <f t="shared" ca="1" si="5"/>
        <v>5.5049439095577954E-2</v>
      </c>
      <c r="F58">
        <f t="shared" ca="1" si="5"/>
        <v>5.5338077822456054E-2</v>
      </c>
      <c r="G58">
        <f t="shared" ca="1" si="5"/>
        <v>5.5435523310617255E-2</v>
      </c>
      <c r="H58">
        <f t="shared" ca="1" si="5"/>
        <v>5.5206677664774245E-2</v>
      </c>
      <c r="I58">
        <f t="shared" ca="1" si="5"/>
        <v>5.5193006864725766E-2</v>
      </c>
      <c r="J58">
        <f t="shared" ca="1" si="5"/>
        <v>5.5139701550609869E-2</v>
      </c>
      <c r="K58">
        <f t="shared" ca="1" si="5"/>
        <v>5.5213467889787635E-2</v>
      </c>
      <c r="L58">
        <f t="shared" ca="1" si="5"/>
        <v>5.5209336801660298E-2</v>
      </c>
      <c r="M58">
        <f t="shared" ca="1" si="5"/>
        <v>5.5387251469790434E-2</v>
      </c>
      <c r="N58">
        <f t="shared" ca="1" si="5"/>
        <v>5.5183256141109603E-2</v>
      </c>
    </row>
    <row r="59" spans="4:14" x14ac:dyDescent="0.2">
      <c r="D59">
        <v>57</v>
      </c>
      <c r="E59">
        <f t="shared" ca="1" si="5"/>
        <v>5.5052790065924187E-2</v>
      </c>
      <c r="F59">
        <f t="shared" ca="1" si="5"/>
        <v>5.533188967223282E-2</v>
      </c>
      <c r="G59">
        <f t="shared" ca="1" si="5"/>
        <v>5.5447546843198567E-2</v>
      </c>
      <c r="H59">
        <f t="shared" ca="1" si="5"/>
        <v>5.5201506464255062E-2</v>
      </c>
      <c r="I59">
        <f t="shared" ca="1" si="5"/>
        <v>5.5192666621473881E-2</v>
      </c>
      <c r="J59">
        <f t="shared" ca="1" si="5"/>
        <v>5.5134675180111906E-2</v>
      </c>
      <c r="K59">
        <f t="shared" ca="1" si="5"/>
        <v>5.5214947192980639E-2</v>
      </c>
      <c r="L59">
        <f t="shared" ca="1" si="5"/>
        <v>5.5210764459761447E-2</v>
      </c>
      <c r="M59">
        <f t="shared" ca="1" si="5"/>
        <v>5.5396588928217159E-2</v>
      </c>
      <c r="N59">
        <f t="shared" ca="1" si="5"/>
        <v>5.5177229846463116E-2</v>
      </c>
    </row>
    <row r="60" spans="4:14" x14ac:dyDescent="0.2">
      <c r="D60">
        <v>58</v>
      </c>
      <c r="E60">
        <f t="shared" ca="1" si="5"/>
        <v>5.5048922683632748E-2</v>
      </c>
      <c r="F60">
        <f t="shared" ca="1" si="5"/>
        <v>5.5324707137776256E-2</v>
      </c>
      <c r="G60">
        <f t="shared" ca="1" si="5"/>
        <v>5.54435886717402E-2</v>
      </c>
      <c r="H60">
        <f t="shared" ca="1" si="5"/>
        <v>5.5209693265672891E-2</v>
      </c>
      <c r="I60">
        <f t="shared" ca="1" si="5"/>
        <v>5.5193283989612381E-2</v>
      </c>
      <c r="J60">
        <f t="shared" ca="1" si="5"/>
        <v>5.5138699826856791E-2</v>
      </c>
      <c r="K60">
        <f t="shared" ca="1" si="5"/>
        <v>5.5197609390189376E-2</v>
      </c>
      <c r="L60">
        <f t="shared" ca="1" si="5"/>
        <v>5.5218588363131975E-2</v>
      </c>
      <c r="M60">
        <f t="shared" ca="1" si="5"/>
        <v>5.5394060393051864E-2</v>
      </c>
      <c r="N60">
        <f t="shared" ca="1" si="5"/>
        <v>5.5175158306235123E-2</v>
      </c>
    </row>
    <row r="61" spans="4:14" x14ac:dyDescent="0.2">
      <c r="D61">
        <v>59</v>
      </c>
      <c r="E61">
        <f t="shared" ca="1" si="5"/>
        <v>5.5052032726688738E-2</v>
      </c>
      <c r="F61">
        <f t="shared" ca="1" si="5"/>
        <v>5.5324838708211255E-2</v>
      </c>
      <c r="G61">
        <f t="shared" ca="1" si="5"/>
        <v>5.5454057529446599E-2</v>
      </c>
      <c r="H61">
        <f t="shared" ca="1" si="5"/>
        <v>5.5219149027054069E-2</v>
      </c>
      <c r="I61">
        <f t="shared" ca="1" si="5"/>
        <v>5.5193082723779617E-2</v>
      </c>
      <c r="J61">
        <f t="shared" ca="1" si="5"/>
        <v>5.5131517032648521E-2</v>
      </c>
      <c r="K61">
        <f t="shared" ca="1" si="5"/>
        <v>5.5203303142868448E-2</v>
      </c>
      <c r="L61">
        <f t="shared" ca="1" si="5"/>
        <v>5.5213298983078307E-2</v>
      </c>
      <c r="M61">
        <f t="shared" ca="1" si="5"/>
        <v>5.5403922028144786E-2</v>
      </c>
      <c r="N61">
        <f t="shared" ca="1" si="5"/>
        <v>5.5170911056788459E-2</v>
      </c>
    </row>
    <row r="62" spans="4:14" x14ac:dyDescent="0.2">
      <c r="D62">
        <v>60</v>
      </c>
      <c r="E62">
        <f t="shared" ca="1" si="5"/>
        <v>5.506129737919626E-2</v>
      </c>
      <c r="F62">
        <f t="shared" ca="1" si="5"/>
        <v>5.5324953780665591E-2</v>
      </c>
      <c r="G62">
        <f t="shared" ca="1" si="5"/>
        <v>5.5457496372038791E-2</v>
      </c>
      <c r="H62">
        <f t="shared" ca="1" si="5"/>
        <v>5.5226228122673041E-2</v>
      </c>
      <c r="I62">
        <f t="shared" ca="1" si="5"/>
        <v>5.5184943865786054E-2</v>
      </c>
      <c r="J62">
        <f t="shared" ca="1" si="5"/>
        <v>5.5129537984320222E-2</v>
      </c>
      <c r="K62">
        <f t="shared" ca="1" si="5"/>
        <v>5.5211011342545656E-2</v>
      </c>
      <c r="L62">
        <f t="shared" ca="1" si="5"/>
        <v>5.5203905459148536E-2</v>
      </c>
      <c r="M62">
        <f t="shared" ca="1" si="5"/>
        <v>5.5409115026319691E-2</v>
      </c>
      <c r="N62">
        <f t="shared" ca="1" si="5"/>
        <v>5.5159850425955316E-2</v>
      </c>
    </row>
    <row r="63" spans="4:14" x14ac:dyDescent="0.2">
      <c r="D63">
        <v>61</v>
      </c>
      <c r="E63">
        <f t="shared" ca="1" si="5"/>
        <v>5.5065427448322379E-2</v>
      </c>
      <c r="F63">
        <f t="shared" ca="1" si="5"/>
        <v>5.5331654828582343E-2</v>
      </c>
      <c r="G63">
        <f t="shared" ca="1" si="5"/>
        <v>5.5459064639833029E-2</v>
      </c>
      <c r="H63">
        <f t="shared" ca="1" si="5"/>
        <v>5.5252144941546476E-2</v>
      </c>
      <c r="I63">
        <f t="shared" ca="1" si="5"/>
        <v>5.517405591235082E-2</v>
      </c>
      <c r="J63">
        <f t="shared" ca="1" si="5"/>
        <v>5.5130303383735466E-2</v>
      </c>
      <c r="K63">
        <f t="shared" ca="1" si="5"/>
        <v>5.5219529471449508E-2</v>
      </c>
      <c r="L63">
        <f t="shared" ca="1" si="5"/>
        <v>5.5218614404776697E-2</v>
      </c>
      <c r="M63">
        <f t="shared" ca="1" si="5"/>
        <v>5.5405071301021076E-2</v>
      </c>
      <c r="N63">
        <f t="shared" ca="1" si="5"/>
        <v>5.5168823362893867E-2</v>
      </c>
    </row>
    <row r="64" spans="4:14" x14ac:dyDescent="0.2">
      <c r="D64">
        <v>62</v>
      </c>
      <c r="E64">
        <f t="shared" ca="1" si="5"/>
        <v>5.5065849907912204E-2</v>
      </c>
      <c r="F64">
        <f t="shared" ca="1" si="5"/>
        <v>5.5335248558051719E-2</v>
      </c>
      <c r="G64">
        <f t="shared" ca="1" si="5"/>
        <v>5.5452746825526152E-2</v>
      </c>
      <c r="H64">
        <f t="shared" ca="1" si="5"/>
        <v>5.5244921977835086E-2</v>
      </c>
      <c r="I64">
        <f t="shared" ca="1" si="5"/>
        <v>5.5141019805269309E-2</v>
      </c>
      <c r="J64">
        <f t="shared" ca="1" si="5"/>
        <v>5.5118913604614225E-2</v>
      </c>
      <c r="K64">
        <f t="shared" ca="1" si="5"/>
        <v>5.5231152422670814E-2</v>
      </c>
      <c r="L64">
        <f t="shared" ca="1" si="5"/>
        <v>5.5232327581537129E-2</v>
      </c>
      <c r="M64">
        <f t="shared" ca="1" si="5"/>
        <v>5.5405024441518583E-2</v>
      </c>
      <c r="N64">
        <f t="shared" ca="1" si="5"/>
        <v>5.517317313487622E-2</v>
      </c>
    </row>
    <row r="65" spans="4:14" x14ac:dyDescent="0.2">
      <c r="D65">
        <v>63</v>
      </c>
      <c r="E65">
        <f t="shared" ca="1" si="5"/>
        <v>5.5065367805167326E-2</v>
      </c>
      <c r="F65">
        <f t="shared" ca="1" si="5"/>
        <v>5.5341647770564696E-2</v>
      </c>
      <c r="G65">
        <f t="shared" ca="1" si="5"/>
        <v>5.5462935261690521E-2</v>
      </c>
      <c r="H65">
        <f t="shared" ca="1" si="5"/>
        <v>5.5247304435517904E-2</v>
      </c>
      <c r="I65">
        <f t="shared" ca="1" si="5"/>
        <v>5.5168471498507697E-2</v>
      </c>
      <c r="J65">
        <f t="shared" ca="1" si="5"/>
        <v>5.5116459068219888E-2</v>
      </c>
      <c r="K65">
        <f t="shared" ca="1" si="5"/>
        <v>5.5231094290413091E-2</v>
      </c>
      <c r="L65">
        <f t="shared" ca="1" si="5"/>
        <v>5.5237274319063674E-2</v>
      </c>
      <c r="M65">
        <f t="shared" ca="1" si="5"/>
        <v>5.5406684224000032E-2</v>
      </c>
      <c r="N65">
        <f t="shared" ca="1" si="5"/>
        <v>5.5146493723199325E-2</v>
      </c>
    </row>
    <row r="66" spans="4:14" x14ac:dyDescent="0.2">
      <c r="D66">
        <v>64</v>
      </c>
      <c r="E66">
        <f t="shared" ca="1" si="5"/>
        <v>5.5057165363993521E-2</v>
      </c>
      <c r="F66">
        <f t="shared" ca="1" si="5"/>
        <v>5.5345711693235988E-2</v>
      </c>
      <c r="G66">
        <f t="shared" ca="1" si="5"/>
        <v>5.5470336705791976E-2</v>
      </c>
      <c r="H66">
        <f t="shared" ca="1" si="5"/>
        <v>5.5263815030809155E-2</v>
      </c>
      <c r="I66">
        <f t="shared" ca="1" si="5"/>
        <v>5.5176279116139114E-2</v>
      </c>
      <c r="J66">
        <f t="shared" ca="1" si="5"/>
        <v>5.5110827945122759E-2</v>
      </c>
      <c r="K66">
        <f t="shared" ca="1" si="5"/>
        <v>5.5234753521925681E-2</v>
      </c>
      <c r="L66">
        <f t="shared" ca="1" si="5"/>
        <v>5.5234444454533078E-2</v>
      </c>
      <c r="M66">
        <f t="shared" ca="1" si="5"/>
        <v>5.5421120743757275E-2</v>
      </c>
      <c r="N66">
        <f t="shared" ca="1" si="5"/>
        <v>5.5149192820540059E-2</v>
      </c>
    </row>
    <row r="67" spans="4:14" x14ac:dyDescent="0.2">
      <c r="D67">
        <v>65</v>
      </c>
      <c r="E67">
        <f t="shared" ca="1" si="5"/>
        <v>5.5074476282450761E-2</v>
      </c>
      <c r="F67">
        <f t="shared" ca="1" si="5"/>
        <v>5.535797082856727E-2</v>
      </c>
      <c r="G67">
        <f t="shared" ca="1" si="5"/>
        <v>5.5481599389753E-2</v>
      </c>
      <c r="H67">
        <f t="shared" ca="1" si="5"/>
        <v>5.5258285351407553E-2</v>
      </c>
      <c r="I67">
        <f t="shared" ca="1" si="5"/>
        <v>5.5158673385839234E-2</v>
      </c>
      <c r="J67">
        <f t="shared" ca="1" si="5"/>
        <v>5.512178193307446E-2</v>
      </c>
      <c r="K67">
        <f t="shared" ca="1" si="5"/>
        <v>5.5219553473407852E-2</v>
      </c>
      <c r="L67">
        <f t="shared" ca="1" si="5"/>
        <v>5.5241459283059846E-2</v>
      </c>
      <c r="M67">
        <f t="shared" ca="1" si="5"/>
        <v>5.5426464701494212E-2</v>
      </c>
      <c r="N67">
        <f t="shared" ca="1" si="5"/>
        <v>5.5154527439990143E-2</v>
      </c>
    </row>
    <row r="68" spans="4:14" x14ac:dyDescent="0.2">
      <c r="D68">
        <v>66</v>
      </c>
      <c r="E68">
        <f t="shared" ref="E68:N83" ca="1" si="6">$B$1*($B$2-E67)*$B$6+$B$3*SQRT($B$6)*_xlfn.NORM.S.INV(RAND())+E67</f>
        <v>5.5079502897098231E-2</v>
      </c>
      <c r="F68">
        <f t="shared" ca="1" si="6"/>
        <v>5.5347837095638196E-2</v>
      </c>
      <c r="G68">
        <f t="shared" ca="1" si="6"/>
        <v>5.5478827080827534E-2</v>
      </c>
      <c r="H68">
        <f t="shared" ca="1" si="6"/>
        <v>5.5241143041973063E-2</v>
      </c>
      <c r="I68">
        <f t="shared" ca="1" si="6"/>
        <v>5.5145399432905515E-2</v>
      </c>
      <c r="J68">
        <f t="shared" ca="1" si="6"/>
        <v>5.510536216944726E-2</v>
      </c>
      <c r="K68">
        <f t="shared" ca="1" si="6"/>
        <v>5.5217441705701427E-2</v>
      </c>
      <c r="L68">
        <f t="shared" ca="1" si="6"/>
        <v>5.5244226916829384E-2</v>
      </c>
      <c r="M68">
        <f t="shared" ca="1" si="6"/>
        <v>5.5445980367907016E-2</v>
      </c>
      <c r="N68">
        <f t="shared" ca="1" si="6"/>
        <v>5.5189881507786268E-2</v>
      </c>
    </row>
    <row r="69" spans="4:14" x14ac:dyDescent="0.2">
      <c r="D69">
        <v>67</v>
      </c>
      <c r="E69">
        <f t="shared" ca="1" si="6"/>
        <v>5.5087154968985558E-2</v>
      </c>
      <c r="F69">
        <f t="shared" ca="1" si="6"/>
        <v>5.5349686279708342E-2</v>
      </c>
      <c r="G69">
        <f t="shared" ca="1" si="6"/>
        <v>5.5471439891510231E-2</v>
      </c>
      <c r="H69">
        <f t="shared" ca="1" si="6"/>
        <v>5.5236177985248047E-2</v>
      </c>
      <c r="I69">
        <f t="shared" ca="1" si="6"/>
        <v>5.5148770188964635E-2</v>
      </c>
      <c r="J69">
        <f t="shared" ca="1" si="6"/>
        <v>5.5092185110402959E-2</v>
      </c>
      <c r="K69">
        <f t="shared" ca="1" si="6"/>
        <v>5.5220547036614685E-2</v>
      </c>
      <c r="L69">
        <f t="shared" ca="1" si="6"/>
        <v>5.5247508250217577E-2</v>
      </c>
      <c r="M69">
        <f t="shared" ca="1" si="6"/>
        <v>5.5466818146710069E-2</v>
      </c>
      <c r="N69">
        <f t="shared" ca="1" si="6"/>
        <v>5.5199075492860017E-2</v>
      </c>
    </row>
    <row r="70" spans="4:14" x14ac:dyDescent="0.2">
      <c r="D70">
        <v>68</v>
      </c>
      <c r="E70">
        <f t="shared" ca="1" si="6"/>
        <v>5.5086942098780865E-2</v>
      </c>
      <c r="F70">
        <f t="shared" ca="1" si="6"/>
        <v>5.5338877339146969E-2</v>
      </c>
      <c r="G70">
        <f t="shared" ca="1" si="6"/>
        <v>5.5465811927161213E-2</v>
      </c>
      <c r="H70">
        <f t="shared" ca="1" si="6"/>
        <v>5.5239387552201133E-2</v>
      </c>
      <c r="I70">
        <f t="shared" ca="1" si="6"/>
        <v>5.5148379413908412E-2</v>
      </c>
      <c r="J70">
        <f t="shared" ca="1" si="6"/>
        <v>5.5091990597280316E-2</v>
      </c>
      <c r="K70">
        <f t="shared" ca="1" si="6"/>
        <v>5.5199625845388581E-2</v>
      </c>
      <c r="L70">
        <f t="shared" ca="1" si="6"/>
        <v>5.5240092290296867E-2</v>
      </c>
      <c r="M70">
        <f t="shared" ca="1" si="6"/>
        <v>5.5478679115508529E-2</v>
      </c>
      <c r="N70">
        <f t="shared" ca="1" si="6"/>
        <v>5.5209419399011098E-2</v>
      </c>
    </row>
    <row r="71" spans="4:14" x14ac:dyDescent="0.2">
      <c r="D71">
        <v>69</v>
      </c>
      <c r="E71">
        <f t="shared" ca="1" si="6"/>
        <v>5.5090309131974192E-2</v>
      </c>
      <c r="F71">
        <f t="shared" ca="1" si="6"/>
        <v>5.5332277464904961E-2</v>
      </c>
      <c r="G71">
        <f t="shared" ca="1" si="6"/>
        <v>5.5463254608578177E-2</v>
      </c>
      <c r="H71">
        <f t="shared" ca="1" si="6"/>
        <v>5.5247710864954301E-2</v>
      </c>
      <c r="I71">
        <f t="shared" ca="1" si="6"/>
        <v>5.5147294223480157E-2</v>
      </c>
      <c r="J71">
        <f t="shared" ca="1" si="6"/>
        <v>5.5086951685565537E-2</v>
      </c>
      <c r="K71">
        <f t="shared" ca="1" si="6"/>
        <v>5.5214968352954433E-2</v>
      </c>
      <c r="L71">
        <f t="shared" ca="1" si="6"/>
        <v>5.5233917695681804E-2</v>
      </c>
      <c r="M71">
        <f t="shared" ca="1" si="6"/>
        <v>5.5481839278377756E-2</v>
      </c>
      <c r="N71">
        <f t="shared" ca="1" si="6"/>
        <v>5.5225337865470847E-2</v>
      </c>
    </row>
    <row r="72" spans="4:14" x14ac:dyDescent="0.2">
      <c r="D72">
        <v>70</v>
      </c>
      <c r="E72">
        <f t="shared" ca="1" si="6"/>
        <v>5.508210963841955E-2</v>
      </c>
      <c r="F72">
        <f t="shared" ca="1" si="6"/>
        <v>5.5336234148126856E-2</v>
      </c>
      <c r="G72">
        <f t="shared" ca="1" si="6"/>
        <v>5.5444053152144526E-2</v>
      </c>
      <c r="H72">
        <f t="shared" ca="1" si="6"/>
        <v>5.5241151043986192E-2</v>
      </c>
      <c r="I72">
        <f t="shared" ca="1" si="6"/>
        <v>5.5138530796707941E-2</v>
      </c>
      <c r="J72">
        <f t="shared" ca="1" si="6"/>
        <v>5.5079493317522675E-2</v>
      </c>
      <c r="K72">
        <f t="shared" ca="1" si="6"/>
        <v>5.5232955659116123E-2</v>
      </c>
      <c r="L72">
        <f t="shared" ca="1" si="6"/>
        <v>5.523660030300407E-2</v>
      </c>
      <c r="M72">
        <f t="shared" ca="1" si="6"/>
        <v>5.5470657248771059E-2</v>
      </c>
      <c r="N72">
        <f t="shared" ca="1" si="6"/>
        <v>5.5236186943571471E-2</v>
      </c>
    </row>
    <row r="73" spans="4:14" x14ac:dyDescent="0.2">
      <c r="D73">
        <v>71</v>
      </c>
      <c r="E73">
        <f t="shared" ca="1" si="6"/>
        <v>5.5071890441338096E-2</v>
      </c>
      <c r="F73">
        <f t="shared" ca="1" si="6"/>
        <v>5.5339099654052967E-2</v>
      </c>
      <c r="G73">
        <f t="shared" ca="1" si="6"/>
        <v>5.5450586759732357E-2</v>
      </c>
      <c r="H73">
        <f t="shared" ca="1" si="6"/>
        <v>5.5256411067583049E-2</v>
      </c>
      <c r="I73">
        <f t="shared" ca="1" si="6"/>
        <v>5.5130428906905636E-2</v>
      </c>
      <c r="J73">
        <f t="shared" ca="1" si="6"/>
        <v>5.5072993036643522E-2</v>
      </c>
      <c r="K73">
        <f t="shared" ca="1" si="6"/>
        <v>5.5250096692264578E-2</v>
      </c>
      <c r="L73">
        <f t="shared" ca="1" si="6"/>
        <v>5.525468180956606E-2</v>
      </c>
      <c r="M73">
        <f t="shared" ca="1" si="6"/>
        <v>5.5478269718954434E-2</v>
      </c>
      <c r="N73">
        <f t="shared" ca="1" si="6"/>
        <v>5.5242097304994485E-2</v>
      </c>
    </row>
    <row r="74" spans="4:14" x14ac:dyDescent="0.2">
      <c r="D74">
        <v>72</v>
      </c>
      <c r="E74">
        <f t="shared" ca="1" si="6"/>
        <v>5.5075877687020713E-2</v>
      </c>
      <c r="F74">
        <f t="shared" ca="1" si="6"/>
        <v>5.5321721796964603E-2</v>
      </c>
      <c r="G74">
        <f t="shared" ca="1" si="6"/>
        <v>5.5458915974409523E-2</v>
      </c>
      <c r="H74">
        <f t="shared" ca="1" si="6"/>
        <v>5.5249806971017036E-2</v>
      </c>
      <c r="I74">
        <f t="shared" ca="1" si="6"/>
        <v>5.513202748895172E-2</v>
      </c>
      <c r="J74">
        <f t="shared" ca="1" si="6"/>
        <v>5.5080757055759592E-2</v>
      </c>
      <c r="K74">
        <f t="shared" ca="1" si="6"/>
        <v>5.524194464577574E-2</v>
      </c>
      <c r="L74">
        <f t="shared" ca="1" si="6"/>
        <v>5.5252294507696129E-2</v>
      </c>
      <c r="M74">
        <f t="shared" ca="1" si="6"/>
        <v>5.5474274955652415E-2</v>
      </c>
      <c r="N74">
        <f t="shared" ca="1" si="6"/>
        <v>5.5264579078673909E-2</v>
      </c>
    </row>
    <row r="75" spans="4:14" x14ac:dyDescent="0.2">
      <c r="D75">
        <v>73</v>
      </c>
      <c r="E75">
        <f t="shared" ca="1" si="6"/>
        <v>5.5091092328862487E-2</v>
      </c>
      <c r="F75">
        <f t="shared" ca="1" si="6"/>
        <v>5.5324968750535865E-2</v>
      </c>
      <c r="G75">
        <f t="shared" ca="1" si="6"/>
        <v>5.5464574711344819E-2</v>
      </c>
      <c r="H75">
        <f t="shared" ca="1" si="6"/>
        <v>5.5249184958252179E-2</v>
      </c>
      <c r="I75">
        <f t="shared" ca="1" si="6"/>
        <v>5.5132274199976669E-2</v>
      </c>
      <c r="J75">
        <f t="shared" ca="1" si="6"/>
        <v>5.5074136596896119E-2</v>
      </c>
      <c r="K75">
        <f t="shared" ca="1" si="6"/>
        <v>5.5244771161832462E-2</v>
      </c>
      <c r="L75">
        <f t="shared" ca="1" si="6"/>
        <v>5.5255439417531284E-2</v>
      </c>
      <c r="M75">
        <f t="shared" ca="1" si="6"/>
        <v>5.5463036383309204E-2</v>
      </c>
      <c r="N75">
        <f t="shared" ca="1" si="6"/>
        <v>5.5259792054459807E-2</v>
      </c>
    </row>
    <row r="76" spans="4:14" x14ac:dyDescent="0.2">
      <c r="D76">
        <v>74</v>
      </c>
      <c r="E76">
        <f t="shared" ca="1" si="6"/>
        <v>5.5092576640660841E-2</v>
      </c>
      <c r="F76">
        <f t="shared" ca="1" si="6"/>
        <v>5.5345513267232929E-2</v>
      </c>
      <c r="G76">
        <f t="shared" ca="1" si="6"/>
        <v>5.5467237563268178E-2</v>
      </c>
      <c r="H76">
        <f t="shared" ca="1" si="6"/>
        <v>5.5238493588868086E-2</v>
      </c>
      <c r="I76">
        <f t="shared" ca="1" si="6"/>
        <v>5.5139105526143803E-2</v>
      </c>
      <c r="J76">
        <f t="shared" ca="1" si="6"/>
        <v>5.5090565364654377E-2</v>
      </c>
      <c r="K76">
        <f t="shared" ca="1" si="6"/>
        <v>5.5234135309599926E-2</v>
      </c>
      <c r="L76">
        <f t="shared" ca="1" si="6"/>
        <v>5.5281446240316542E-2</v>
      </c>
      <c r="M76">
        <f t="shared" ca="1" si="6"/>
        <v>5.5453776106691131E-2</v>
      </c>
      <c r="N76">
        <f t="shared" ca="1" si="6"/>
        <v>5.5274118739027461E-2</v>
      </c>
    </row>
    <row r="77" spans="4:14" x14ac:dyDescent="0.2">
      <c r="D77">
        <v>75</v>
      </c>
      <c r="E77">
        <f t="shared" ca="1" si="6"/>
        <v>5.5078557814564874E-2</v>
      </c>
      <c r="F77">
        <f t="shared" ca="1" si="6"/>
        <v>5.5349618105936083E-2</v>
      </c>
      <c r="G77">
        <f t="shared" ca="1" si="6"/>
        <v>5.5463596824246481E-2</v>
      </c>
      <c r="H77">
        <f t="shared" ca="1" si="6"/>
        <v>5.5217397391802578E-2</v>
      </c>
      <c r="I77">
        <f t="shared" ca="1" si="6"/>
        <v>5.5110712946046775E-2</v>
      </c>
      <c r="J77">
        <f t="shared" ca="1" si="6"/>
        <v>5.5103003832585554E-2</v>
      </c>
      <c r="K77">
        <f t="shared" ca="1" si="6"/>
        <v>5.5236606041575514E-2</v>
      </c>
      <c r="L77">
        <f t="shared" ca="1" si="6"/>
        <v>5.5286257333490088E-2</v>
      </c>
      <c r="M77">
        <f t="shared" ca="1" si="6"/>
        <v>5.5472557360288742E-2</v>
      </c>
      <c r="N77">
        <f t="shared" ca="1" si="6"/>
        <v>5.5271664546300336E-2</v>
      </c>
    </row>
    <row r="78" spans="4:14" x14ac:dyDescent="0.2">
      <c r="D78">
        <v>76</v>
      </c>
      <c r="E78">
        <f t="shared" ca="1" si="6"/>
        <v>5.506519463481846E-2</v>
      </c>
      <c r="F78">
        <f t="shared" ca="1" si="6"/>
        <v>5.535126727376171E-2</v>
      </c>
      <c r="G78">
        <f t="shared" ca="1" si="6"/>
        <v>5.5449304573072344E-2</v>
      </c>
      <c r="H78">
        <f t="shared" ca="1" si="6"/>
        <v>5.5212377113809941E-2</v>
      </c>
      <c r="I78">
        <f t="shared" ca="1" si="6"/>
        <v>5.5102795052229578E-2</v>
      </c>
      <c r="J78">
        <f t="shared" ca="1" si="6"/>
        <v>5.5119596798962472E-2</v>
      </c>
      <c r="K78">
        <f t="shared" ca="1" si="6"/>
        <v>5.5231231561385957E-2</v>
      </c>
      <c r="L78">
        <f t="shared" ca="1" si="6"/>
        <v>5.5276303036745439E-2</v>
      </c>
      <c r="M78">
        <f t="shared" ca="1" si="6"/>
        <v>5.5481949802783731E-2</v>
      </c>
      <c r="N78">
        <f t="shared" ca="1" si="6"/>
        <v>5.5298285116539281E-2</v>
      </c>
    </row>
    <row r="79" spans="4:14" x14ac:dyDescent="0.2">
      <c r="D79">
        <v>77</v>
      </c>
      <c r="E79">
        <f t="shared" ca="1" si="6"/>
        <v>5.5036902218831688E-2</v>
      </c>
      <c r="F79">
        <f t="shared" ca="1" si="6"/>
        <v>5.5347337980730008E-2</v>
      </c>
      <c r="G79">
        <f t="shared" ca="1" si="6"/>
        <v>5.5442896072816883E-2</v>
      </c>
      <c r="H79">
        <f t="shared" ca="1" si="6"/>
        <v>5.5215836639133653E-2</v>
      </c>
      <c r="I79">
        <f t="shared" ca="1" si="6"/>
        <v>5.5094096821586877E-2</v>
      </c>
      <c r="J79">
        <f t="shared" ca="1" si="6"/>
        <v>5.511325834161155E-2</v>
      </c>
      <c r="K79">
        <f t="shared" ca="1" si="6"/>
        <v>5.5242250259861285E-2</v>
      </c>
      <c r="L79">
        <f t="shared" ca="1" si="6"/>
        <v>5.5273185339107508E-2</v>
      </c>
      <c r="M79">
        <f t="shared" ca="1" si="6"/>
        <v>5.5485230093411185E-2</v>
      </c>
      <c r="N79">
        <f t="shared" ca="1" si="6"/>
        <v>5.5287550832285773E-2</v>
      </c>
    </row>
    <row r="80" spans="4:14" x14ac:dyDescent="0.2">
      <c r="D80">
        <v>78</v>
      </c>
      <c r="E80">
        <f t="shared" ca="1" si="6"/>
        <v>5.5034971200735208E-2</v>
      </c>
      <c r="F80">
        <f t="shared" ca="1" si="6"/>
        <v>5.5342017760218541E-2</v>
      </c>
      <c r="G80">
        <f t="shared" ca="1" si="6"/>
        <v>5.5451118220603023E-2</v>
      </c>
      <c r="H80">
        <f t="shared" ca="1" si="6"/>
        <v>5.5210353207700118E-2</v>
      </c>
      <c r="I80">
        <f t="shared" ca="1" si="6"/>
        <v>5.5090747475634617E-2</v>
      </c>
      <c r="J80">
        <f t="shared" ca="1" si="6"/>
        <v>5.5099947088170967E-2</v>
      </c>
      <c r="K80">
        <f t="shared" ca="1" si="6"/>
        <v>5.5230111943061211E-2</v>
      </c>
      <c r="L80">
        <f t="shared" ca="1" si="6"/>
        <v>5.5274686385075003E-2</v>
      </c>
      <c r="M80">
        <f t="shared" ca="1" si="6"/>
        <v>5.5503246394354569E-2</v>
      </c>
      <c r="N80">
        <f t="shared" ca="1" si="6"/>
        <v>5.5276074258647417E-2</v>
      </c>
    </row>
    <row r="81" spans="4:14" x14ac:dyDescent="0.2">
      <c r="D81">
        <v>79</v>
      </c>
      <c r="E81">
        <f t="shared" ca="1" si="6"/>
        <v>5.5010008808542697E-2</v>
      </c>
      <c r="F81">
        <f t="shared" ca="1" si="6"/>
        <v>5.5353872924483502E-2</v>
      </c>
      <c r="G81">
        <f t="shared" ca="1" si="6"/>
        <v>5.5461108694496289E-2</v>
      </c>
      <c r="H81">
        <f t="shared" ca="1" si="6"/>
        <v>5.5204762991321245E-2</v>
      </c>
      <c r="I81">
        <f t="shared" ca="1" si="6"/>
        <v>5.508306735574315E-2</v>
      </c>
      <c r="J81">
        <f t="shared" ca="1" si="6"/>
        <v>5.5099249115287609E-2</v>
      </c>
      <c r="K81">
        <f t="shared" ca="1" si="6"/>
        <v>5.5234633318719958E-2</v>
      </c>
      <c r="L81">
        <f t="shared" ca="1" si="6"/>
        <v>5.5303293316870415E-2</v>
      </c>
      <c r="M81">
        <f t="shared" ca="1" si="6"/>
        <v>5.5503677569207398E-2</v>
      </c>
      <c r="N81">
        <f t="shared" ca="1" si="6"/>
        <v>5.5275438218638381E-2</v>
      </c>
    </row>
    <row r="82" spans="4:14" x14ac:dyDescent="0.2">
      <c r="D82">
        <v>80</v>
      </c>
      <c r="E82">
        <f t="shared" ca="1" si="6"/>
        <v>5.5022481504838856E-2</v>
      </c>
      <c r="F82">
        <f t="shared" ca="1" si="6"/>
        <v>5.5364576265679886E-2</v>
      </c>
      <c r="G82">
        <f t="shared" ca="1" si="6"/>
        <v>5.5480247988186904E-2</v>
      </c>
      <c r="H82">
        <f t="shared" ca="1" si="6"/>
        <v>5.5211170961824076E-2</v>
      </c>
      <c r="I82">
        <f t="shared" ca="1" si="6"/>
        <v>5.5083390436489035E-2</v>
      </c>
      <c r="J82">
        <f t="shared" ca="1" si="6"/>
        <v>5.5109466365383927E-2</v>
      </c>
      <c r="K82">
        <f t="shared" ca="1" si="6"/>
        <v>5.5252178035388351E-2</v>
      </c>
      <c r="L82">
        <f t="shared" ca="1" si="6"/>
        <v>5.5320180119366812E-2</v>
      </c>
      <c r="M82">
        <f t="shared" ca="1" si="6"/>
        <v>5.5498417894119592E-2</v>
      </c>
      <c r="N82">
        <f t="shared" ca="1" si="6"/>
        <v>5.527630920979279E-2</v>
      </c>
    </row>
    <row r="83" spans="4:14" x14ac:dyDescent="0.2">
      <c r="D83">
        <v>81</v>
      </c>
      <c r="E83">
        <f t="shared" ca="1" si="6"/>
        <v>5.5035862900529753E-2</v>
      </c>
      <c r="F83">
        <f t="shared" ca="1" si="6"/>
        <v>5.5375752772280386E-2</v>
      </c>
      <c r="G83">
        <f t="shared" ca="1" si="6"/>
        <v>5.5476440551259575E-2</v>
      </c>
      <c r="H83">
        <f t="shared" ca="1" si="6"/>
        <v>5.5220134987329098E-2</v>
      </c>
      <c r="I83">
        <f t="shared" ca="1" si="6"/>
        <v>5.5085652441802871E-2</v>
      </c>
      <c r="J83">
        <f t="shared" ca="1" si="6"/>
        <v>5.5127305311372637E-2</v>
      </c>
      <c r="K83">
        <f t="shared" ca="1" si="6"/>
        <v>5.5247679856147432E-2</v>
      </c>
      <c r="L83">
        <f t="shared" ca="1" si="6"/>
        <v>5.5321276958748965E-2</v>
      </c>
      <c r="M83">
        <f t="shared" ca="1" si="6"/>
        <v>5.5494778618366873E-2</v>
      </c>
      <c r="N83">
        <f t="shared" ca="1" si="6"/>
        <v>5.527105110602288E-2</v>
      </c>
    </row>
    <row r="84" spans="4:14" x14ac:dyDescent="0.2">
      <c r="D84">
        <v>82</v>
      </c>
      <c r="E84">
        <f t="shared" ref="E84:N99" ca="1" si="7">$B$1*($B$2-E83)*$B$6+$B$3*SQRT($B$6)*_xlfn.NORM.S.INV(RAND())+E83</f>
        <v>5.5041613600278198E-2</v>
      </c>
      <c r="F84">
        <f t="shared" ca="1" si="7"/>
        <v>5.5385022959328629E-2</v>
      </c>
      <c r="G84">
        <f t="shared" ca="1" si="7"/>
        <v>5.5480801241998362E-2</v>
      </c>
      <c r="H84">
        <f t="shared" ca="1" si="7"/>
        <v>5.5222693282191024E-2</v>
      </c>
      <c r="I84">
        <f t="shared" ca="1" si="7"/>
        <v>5.5050677225965391E-2</v>
      </c>
      <c r="J84">
        <f t="shared" ca="1" si="7"/>
        <v>5.5131323759634539E-2</v>
      </c>
      <c r="K84">
        <f t="shared" ca="1" si="7"/>
        <v>5.5237909758914995E-2</v>
      </c>
      <c r="L84">
        <f t="shared" ca="1" si="7"/>
        <v>5.5333619171794808E-2</v>
      </c>
      <c r="M84">
        <f t="shared" ca="1" si="7"/>
        <v>5.5477257580812366E-2</v>
      </c>
      <c r="N84">
        <f t="shared" ca="1" si="7"/>
        <v>5.526252635010076E-2</v>
      </c>
    </row>
    <row r="85" spans="4:14" x14ac:dyDescent="0.2">
      <c r="D85">
        <v>83</v>
      </c>
      <c r="E85">
        <f t="shared" ca="1" si="7"/>
        <v>5.505408939261365E-2</v>
      </c>
      <c r="F85">
        <f t="shared" ca="1" si="7"/>
        <v>5.5389756247140584E-2</v>
      </c>
      <c r="G85">
        <f t="shared" ca="1" si="7"/>
        <v>5.547464299159293E-2</v>
      </c>
      <c r="H85">
        <f t="shared" ca="1" si="7"/>
        <v>5.5213587543238594E-2</v>
      </c>
      <c r="I85">
        <f t="shared" ca="1" si="7"/>
        <v>5.5066027487531422E-2</v>
      </c>
      <c r="J85">
        <f t="shared" ca="1" si="7"/>
        <v>5.511855356451114E-2</v>
      </c>
      <c r="K85">
        <f t="shared" ca="1" si="7"/>
        <v>5.5229460470944972E-2</v>
      </c>
      <c r="L85">
        <f t="shared" ca="1" si="7"/>
        <v>5.5331826976366003E-2</v>
      </c>
      <c r="M85">
        <f t="shared" ca="1" si="7"/>
        <v>5.5472948763488204E-2</v>
      </c>
      <c r="N85">
        <f t="shared" ca="1" si="7"/>
        <v>5.5240980598435706E-2</v>
      </c>
    </row>
    <row r="86" spans="4:14" x14ac:dyDescent="0.2">
      <c r="D86">
        <v>84</v>
      </c>
      <c r="E86">
        <f t="shared" ca="1" si="7"/>
        <v>5.5046893275056526E-2</v>
      </c>
      <c r="F86">
        <f t="shared" ca="1" si="7"/>
        <v>5.5383043612863656E-2</v>
      </c>
      <c r="G86">
        <f t="shared" ca="1" si="7"/>
        <v>5.5475150482738905E-2</v>
      </c>
      <c r="H86">
        <f t="shared" ca="1" si="7"/>
        <v>5.5220375354904518E-2</v>
      </c>
      <c r="I86">
        <f t="shared" ca="1" si="7"/>
        <v>5.5056096440148181E-2</v>
      </c>
      <c r="J86">
        <f t="shared" ca="1" si="7"/>
        <v>5.5119420454532976E-2</v>
      </c>
      <c r="K86">
        <f t="shared" ca="1" si="7"/>
        <v>5.523759964710899E-2</v>
      </c>
      <c r="L86">
        <f t="shared" ca="1" si="7"/>
        <v>5.5330999461620151E-2</v>
      </c>
      <c r="M86">
        <f t="shared" ca="1" si="7"/>
        <v>5.5499954338909196E-2</v>
      </c>
      <c r="N86">
        <f t="shared" ca="1" si="7"/>
        <v>5.5226409268187115E-2</v>
      </c>
    </row>
    <row r="87" spans="4:14" x14ac:dyDescent="0.2">
      <c r="D87">
        <v>85</v>
      </c>
      <c r="E87">
        <f t="shared" ca="1" si="7"/>
        <v>5.5036898950546205E-2</v>
      </c>
      <c r="F87">
        <f t="shared" ca="1" si="7"/>
        <v>5.539897336907245E-2</v>
      </c>
      <c r="G87">
        <f t="shared" ca="1" si="7"/>
        <v>5.5470810144010875E-2</v>
      </c>
      <c r="H87">
        <f t="shared" ca="1" si="7"/>
        <v>5.522532939740174E-2</v>
      </c>
      <c r="I87">
        <f t="shared" ca="1" si="7"/>
        <v>5.5040148764220552E-2</v>
      </c>
      <c r="J87">
        <f t="shared" ca="1" si="7"/>
        <v>5.5128096373934288E-2</v>
      </c>
      <c r="K87">
        <f t="shared" ca="1" si="7"/>
        <v>5.5251701382630601E-2</v>
      </c>
      <c r="L87">
        <f t="shared" ca="1" si="7"/>
        <v>5.5325928730670104E-2</v>
      </c>
      <c r="M87">
        <f t="shared" ca="1" si="7"/>
        <v>5.5512441781260455E-2</v>
      </c>
      <c r="N87">
        <f t="shared" ca="1" si="7"/>
        <v>5.5227859990252592E-2</v>
      </c>
    </row>
    <row r="88" spans="4:14" x14ac:dyDescent="0.2">
      <c r="D88">
        <v>86</v>
      </c>
      <c r="E88">
        <f t="shared" ca="1" si="7"/>
        <v>5.5021262308078099E-2</v>
      </c>
      <c r="F88">
        <f t="shared" ca="1" si="7"/>
        <v>5.5395039315409546E-2</v>
      </c>
      <c r="G88">
        <f t="shared" ca="1" si="7"/>
        <v>5.5468152124973226E-2</v>
      </c>
      <c r="H88">
        <f t="shared" ca="1" si="7"/>
        <v>5.5211940528277062E-2</v>
      </c>
      <c r="I88">
        <f t="shared" ca="1" si="7"/>
        <v>5.5049634627044583E-2</v>
      </c>
      <c r="J88">
        <f t="shared" ca="1" si="7"/>
        <v>5.5137760883057975E-2</v>
      </c>
      <c r="K88">
        <f t="shared" ca="1" si="7"/>
        <v>5.5250555089580149E-2</v>
      </c>
      <c r="L88">
        <f t="shared" ca="1" si="7"/>
        <v>5.5306694903118833E-2</v>
      </c>
      <c r="M88">
        <f t="shared" ca="1" si="7"/>
        <v>5.5516159793945787E-2</v>
      </c>
      <c r="N88">
        <f t="shared" ca="1" si="7"/>
        <v>5.524952882746971E-2</v>
      </c>
    </row>
    <row r="89" spans="4:14" x14ac:dyDescent="0.2">
      <c r="D89">
        <v>87</v>
      </c>
      <c r="E89">
        <f t="shared" ca="1" si="7"/>
        <v>5.5044409701007491E-2</v>
      </c>
      <c r="F89">
        <f t="shared" ca="1" si="7"/>
        <v>5.5403393352532214E-2</v>
      </c>
      <c r="G89">
        <f t="shared" ca="1" si="7"/>
        <v>5.5483618012560298E-2</v>
      </c>
      <c r="H89">
        <f t="shared" ca="1" si="7"/>
        <v>5.520865703556832E-2</v>
      </c>
      <c r="I89">
        <f t="shared" ca="1" si="7"/>
        <v>5.5061628131564851E-2</v>
      </c>
      <c r="J89">
        <f t="shared" ca="1" si="7"/>
        <v>5.5150428091469021E-2</v>
      </c>
      <c r="K89">
        <f t="shared" ca="1" si="7"/>
        <v>5.5238578853460424E-2</v>
      </c>
      <c r="L89">
        <f t="shared" ca="1" si="7"/>
        <v>5.5301569418577404E-2</v>
      </c>
      <c r="M89">
        <f t="shared" ca="1" si="7"/>
        <v>5.5516153386239254E-2</v>
      </c>
      <c r="N89">
        <f t="shared" ca="1" si="7"/>
        <v>5.5241594644348059E-2</v>
      </c>
    </row>
    <row r="90" spans="4:14" x14ac:dyDescent="0.2">
      <c r="D90">
        <v>88</v>
      </c>
      <c r="E90">
        <f t="shared" ca="1" si="7"/>
        <v>5.5055097881989527E-2</v>
      </c>
      <c r="F90">
        <f t="shared" ca="1" si="7"/>
        <v>5.541981814997788E-2</v>
      </c>
      <c r="G90">
        <f t="shared" ca="1" si="7"/>
        <v>5.5467398271766888E-2</v>
      </c>
      <c r="H90">
        <f t="shared" ca="1" si="7"/>
        <v>5.5210566675253536E-2</v>
      </c>
      <c r="I90">
        <f t="shared" ca="1" si="7"/>
        <v>5.5039477244072092E-2</v>
      </c>
      <c r="J90">
        <f t="shared" ca="1" si="7"/>
        <v>5.5144431866320662E-2</v>
      </c>
      <c r="K90">
        <f t="shared" ca="1" si="7"/>
        <v>5.5235738165017978E-2</v>
      </c>
      <c r="L90">
        <f t="shared" ca="1" si="7"/>
        <v>5.5289236316136435E-2</v>
      </c>
      <c r="M90">
        <f t="shared" ca="1" si="7"/>
        <v>5.5504090112807575E-2</v>
      </c>
      <c r="N90">
        <f t="shared" ca="1" si="7"/>
        <v>5.522763280168607E-2</v>
      </c>
    </row>
    <row r="91" spans="4:14" x14ac:dyDescent="0.2">
      <c r="D91">
        <v>89</v>
      </c>
      <c r="E91">
        <f t="shared" ca="1" si="7"/>
        <v>5.5044275016734492E-2</v>
      </c>
      <c r="F91">
        <f t="shared" ca="1" si="7"/>
        <v>5.5413386783280998E-2</v>
      </c>
      <c r="G91">
        <f t="shared" ca="1" si="7"/>
        <v>5.5457547123062195E-2</v>
      </c>
      <c r="H91">
        <f t="shared" ca="1" si="7"/>
        <v>5.5191177741086707E-2</v>
      </c>
      <c r="I91">
        <f t="shared" ca="1" si="7"/>
        <v>5.504819419058616E-2</v>
      </c>
      <c r="J91">
        <f t="shared" ca="1" si="7"/>
        <v>5.5181024667919604E-2</v>
      </c>
      <c r="K91">
        <f t="shared" ca="1" si="7"/>
        <v>5.5242972485283773E-2</v>
      </c>
      <c r="L91">
        <f t="shared" ca="1" si="7"/>
        <v>5.5291999260819534E-2</v>
      </c>
      <c r="M91">
        <f t="shared" ca="1" si="7"/>
        <v>5.5509748024795511E-2</v>
      </c>
      <c r="N91">
        <f t="shared" ca="1" si="7"/>
        <v>5.5232069528986009E-2</v>
      </c>
    </row>
    <row r="92" spans="4:14" x14ac:dyDescent="0.2">
      <c r="D92">
        <v>90</v>
      </c>
      <c r="E92">
        <f t="shared" ca="1" si="7"/>
        <v>5.5040478379908227E-2</v>
      </c>
      <c r="F92">
        <f t="shared" ca="1" si="7"/>
        <v>5.5412660539424188E-2</v>
      </c>
      <c r="G92">
        <f t="shared" ca="1" si="7"/>
        <v>5.5472809648865813E-2</v>
      </c>
      <c r="H92">
        <f t="shared" ca="1" si="7"/>
        <v>5.5213578945205212E-2</v>
      </c>
      <c r="I92">
        <f t="shared" ca="1" si="7"/>
        <v>5.5062838691224171E-2</v>
      </c>
      <c r="J92">
        <f t="shared" ca="1" si="7"/>
        <v>5.517357414030976E-2</v>
      </c>
      <c r="K92">
        <f t="shared" ca="1" si="7"/>
        <v>5.5227742840451712E-2</v>
      </c>
      <c r="L92">
        <f t="shared" ca="1" si="7"/>
        <v>5.5286775833788306E-2</v>
      </c>
      <c r="M92">
        <f t="shared" ca="1" si="7"/>
        <v>5.5517421500456875E-2</v>
      </c>
      <c r="N92">
        <f t="shared" ca="1" si="7"/>
        <v>5.5231570195927747E-2</v>
      </c>
    </row>
    <row r="93" spans="4:14" x14ac:dyDescent="0.2">
      <c r="D93">
        <v>91</v>
      </c>
      <c r="E93">
        <f t="shared" ca="1" si="7"/>
        <v>5.5022096008110727E-2</v>
      </c>
      <c r="F93">
        <f t="shared" ca="1" si="7"/>
        <v>5.5419858198459501E-2</v>
      </c>
      <c r="G93">
        <f t="shared" ca="1" si="7"/>
        <v>5.5461592255691104E-2</v>
      </c>
      <c r="H93">
        <f t="shared" ca="1" si="7"/>
        <v>5.5223713580169483E-2</v>
      </c>
      <c r="I93">
        <f t="shared" ca="1" si="7"/>
        <v>5.5069758418727327E-2</v>
      </c>
      <c r="J93">
        <f t="shared" ca="1" si="7"/>
        <v>5.5167496107117325E-2</v>
      </c>
      <c r="K93">
        <f t="shared" ca="1" si="7"/>
        <v>5.5231606133036806E-2</v>
      </c>
      <c r="L93">
        <f t="shared" ca="1" si="7"/>
        <v>5.5287139628544479E-2</v>
      </c>
      <c r="M93">
        <f t="shared" ca="1" si="7"/>
        <v>5.5510172584637245E-2</v>
      </c>
      <c r="N93">
        <f t="shared" ca="1" si="7"/>
        <v>5.5239781392318957E-2</v>
      </c>
    </row>
    <row r="94" spans="4:14" x14ac:dyDescent="0.2">
      <c r="D94">
        <v>92</v>
      </c>
      <c r="E94">
        <f t="shared" ca="1" si="7"/>
        <v>5.503326921401322E-2</v>
      </c>
      <c r="F94">
        <f t="shared" ca="1" si="7"/>
        <v>5.54153681542775E-2</v>
      </c>
      <c r="G94">
        <f t="shared" ca="1" si="7"/>
        <v>5.5466920107898325E-2</v>
      </c>
      <c r="H94">
        <f t="shared" ca="1" si="7"/>
        <v>5.5234958273593635E-2</v>
      </c>
      <c r="I94">
        <f t="shared" ca="1" si="7"/>
        <v>5.5059716782638199E-2</v>
      </c>
      <c r="J94">
        <f t="shared" ca="1" si="7"/>
        <v>5.5138875007562038E-2</v>
      </c>
      <c r="K94">
        <f t="shared" ca="1" si="7"/>
        <v>5.5229983878294725E-2</v>
      </c>
      <c r="L94">
        <f t="shared" ca="1" si="7"/>
        <v>5.5289695830799582E-2</v>
      </c>
      <c r="M94">
        <f t="shared" ca="1" si="7"/>
        <v>5.5505895928362081E-2</v>
      </c>
      <c r="N94">
        <f t="shared" ca="1" si="7"/>
        <v>5.5238322302100656E-2</v>
      </c>
    </row>
    <row r="95" spans="4:14" x14ac:dyDescent="0.2">
      <c r="D95">
        <v>93</v>
      </c>
      <c r="E95">
        <f t="shared" ca="1" si="7"/>
        <v>5.5021325014905254E-2</v>
      </c>
      <c r="F95">
        <f t="shared" ca="1" si="7"/>
        <v>5.5402263649748117E-2</v>
      </c>
      <c r="G95">
        <f t="shared" ca="1" si="7"/>
        <v>5.5449544339771041E-2</v>
      </c>
      <c r="H95">
        <f t="shared" ca="1" si="7"/>
        <v>5.5246821194847195E-2</v>
      </c>
      <c r="I95">
        <f t="shared" ca="1" si="7"/>
        <v>5.5067139648911495E-2</v>
      </c>
      <c r="J95">
        <f t="shared" ca="1" si="7"/>
        <v>5.5135176874474931E-2</v>
      </c>
      <c r="K95">
        <f t="shared" ca="1" si="7"/>
        <v>5.5213565857202315E-2</v>
      </c>
      <c r="L95">
        <f t="shared" ca="1" si="7"/>
        <v>5.5307019942111839E-2</v>
      </c>
      <c r="M95">
        <f t="shared" ca="1" si="7"/>
        <v>5.5486606443892729E-2</v>
      </c>
      <c r="N95">
        <f t="shared" ca="1" si="7"/>
        <v>5.5237835917457762E-2</v>
      </c>
    </row>
    <row r="96" spans="4:14" x14ac:dyDescent="0.2">
      <c r="D96">
        <v>94</v>
      </c>
      <c r="E96">
        <f t="shared" ca="1" si="7"/>
        <v>5.5011039828410588E-2</v>
      </c>
      <c r="F96">
        <f t="shared" ca="1" si="7"/>
        <v>5.5415330639711338E-2</v>
      </c>
      <c r="G96">
        <f t="shared" ca="1" si="7"/>
        <v>5.5444155868751802E-2</v>
      </c>
      <c r="H96">
        <f t="shared" ca="1" si="7"/>
        <v>5.525789032046606E-2</v>
      </c>
      <c r="I96">
        <f t="shared" ca="1" si="7"/>
        <v>5.5071353673074037E-2</v>
      </c>
      <c r="J96">
        <f t="shared" ca="1" si="7"/>
        <v>5.5154931315203735E-2</v>
      </c>
      <c r="K96">
        <f t="shared" ca="1" si="7"/>
        <v>5.520873655192924E-2</v>
      </c>
      <c r="L96">
        <f t="shared" ca="1" si="7"/>
        <v>5.5316994659755821E-2</v>
      </c>
      <c r="M96">
        <f t="shared" ca="1" si="7"/>
        <v>5.5496074491587118E-2</v>
      </c>
      <c r="N96">
        <f t="shared" ca="1" si="7"/>
        <v>5.5236328434431603E-2</v>
      </c>
    </row>
    <row r="97" spans="4:14" x14ac:dyDescent="0.2">
      <c r="D97">
        <v>95</v>
      </c>
      <c r="E97">
        <f t="shared" ca="1" si="7"/>
        <v>5.5024472935358379E-2</v>
      </c>
      <c r="F97">
        <f t="shared" ca="1" si="7"/>
        <v>5.5394304217904256E-2</v>
      </c>
      <c r="G97">
        <f t="shared" ca="1" si="7"/>
        <v>5.541913738859322E-2</v>
      </c>
      <c r="H97">
        <f t="shared" ca="1" si="7"/>
        <v>5.5244358306342334E-2</v>
      </c>
      <c r="I97">
        <f t="shared" ca="1" si="7"/>
        <v>5.5093861740682884E-2</v>
      </c>
      <c r="J97">
        <f t="shared" ca="1" si="7"/>
        <v>5.5150990989054599E-2</v>
      </c>
      <c r="K97">
        <f t="shared" ca="1" si="7"/>
        <v>5.5213599719429289E-2</v>
      </c>
      <c r="L97">
        <f t="shared" ca="1" si="7"/>
        <v>5.5307650511178301E-2</v>
      </c>
      <c r="M97">
        <f t="shared" ca="1" si="7"/>
        <v>5.5508536898796347E-2</v>
      </c>
      <c r="N97">
        <f t="shared" ca="1" si="7"/>
        <v>5.5227245383102357E-2</v>
      </c>
    </row>
    <row r="98" spans="4:14" x14ac:dyDescent="0.2">
      <c r="D98">
        <v>96</v>
      </c>
      <c r="E98">
        <f t="shared" ca="1" si="7"/>
        <v>5.5018527325661162E-2</v>
      </c>
      <c r="F98">
        <f t="shared" ca="1" si="7"/>
        <v>5.5408418551960881E-2</v>
      </c>
      <c r="G98">
        <f t="shared" ca="1" si="7"/>
        <v>5.542896163592069E-2</v>
      </c>
      <c r="H98">
        <f t="shared" ca="1" si="7"/>
        <v>5.5220517649338746E-2</v>
      </c>
      <c r="I98">
        <f t="shared" ca="1" si="7"/>
        <v>5.5114370174022639E-2</v>
      </c>
      <c r="J98">
        <f t="shared" ca="1" si="7"/>
        <v>5.5173767597690875E-2</v>
      </c>
      <c r="K98">
        <f t="shared" ca="1" si="7"/>
        <v>5.5213829243285439E-2</v>
      </c>
      <c r="L98">
        <f t="shared" ca="1" si="7"/>
        <v>5.5303377686417556E-2</v>
      </c>
      <c r="M98">
        <f t="shared" ca="1" si="7"/>
        <v>5.5502894873478738E-2</v>
      </c>
      <c r="N98">
        <f t="shared" ca="1" si="7"/>
        <v>5.5213709778603855E-2</v>
      </c>
    </row>
    <row r="99" spans="4:14" x14ac:dyDescent="0.2">
      <c r="D99">
        <v>97</v>
      </c>
      <c r="E99">
        <f t="shared" ca="1" si="7"/>
        <v>5.5026058029807048E-2</v>
      </c>
      <c r="F99">
        <f t="shared" ca="1" si="7"/>
        <v>5.5405028453679325E-2</v>
      </c>
      <c r="G99">
        <f t="shared" ca="1" si="7"/>
        <v>5.5426750616785897E-2</v>
      </c>
      <c r="H99">
        <f t="shared" ca="1" si="7"/>
        <v>5.5198881493911757E-2</v>
      </c>
      <c r="I99">
        <f t="shared" ca="1" si="7"/>
        <v>5.5133295840080733E-2</v>
      </c>
      <c r="J99">
        <f t="shared" ca="1" si="7"/>
        <v>5.5175142664268158E-2</v>
      </c>
      <c r="K99">
        <f t="shared" ca="1" si="7"/>
        <v>5.5214939707387951E-2</v>
      </c>
      <c r="L99">
        <f t="shared" ca="1" si="7"/>
        <v>5.5330122133252037E-2</v>
      </c>
      <c r="M99">
        <f t="shared" ca="1" si="7"/>
        <v>5.5496981247523572E-2</v>
      </c>
      <c r="N99">
        <f t="shared" ca="1" si="7"/>
        <v>5.5205203106257962E-2</v>
      </c>
    </row>
    <row r="100" spans="4:14" x14ac:dyDescent="0.2">
      <c r="D100">
        <v>98</v>
      </c>
      <c r="E100">
        <f t="shared" ref="E100:N115" ca="1" si="8">$B$1*($B$2-E99)*$B$6+$B$3*SQRT($B$6)*_xlfn.NORM.S.INV(RAND())+E99</f>
        <v>5.503053997919212E-2</v>
      </c>
      <c r="F100">
        <f t="shared" ca="1" si="8"/>
        <v>5.5391318328935443E-2</v>
      </c>
      <c r="G100">
        <f t="shared" ca="1" si="8"/>
        <v>5.5438179712512109E-2</v>
      </c>
      <c r="H100">
        <f t="shared" ca="1" si="8"/>
        <v>5.5206216915343991E-2</v>
      </c>
      <c r="I100">
        <f t="shared" ca="1" si="8"/>
        <v>5.5156285415277291E-2</v>
      </c>
      <c r="J100">
        <f t="shared" ca="1" si="8"/>
        <v>5.516428830999151E-2</v>
      </c>
      <c r="K100">
        <f t="shared" ca="1" si="8"/>
        <v>5.5215831020631274E-2</v>
      </c>
      <c r="L100">
        <f t="shared" ca="1" si="8"/>
        <v>5.5324556026243386E-2</v>
      </c>
      <c r="M100">
        <f t="shared" ca="1" si="8"/>
        <v>5.5483445802533012E-2</v>
      </c>
      <c r="N100">
        <f t="shared" ca="1" si="8"/>
        <v>5.5199346147352467E-2</v>
      </c>
    </row>
    <row r="101" spans="4:14" x14ac:dyDescent="0.2">
      <c r="D101">
        <v>99</v>
      </c>
      <c r="E101">
        <f t="shared" ca="1" si="8"/>
        <v>5.5041404834194264E-2</v>
      </c>
      <c r="F101">
        <f t="shared" ca="1" si="8"/>
        <v>5.5398194698126832E-2</v>
      </c>
      <c r="G101">
        <f t="shared" ca="1" si="8"/>
        <v>5.5446174566942424E-2</v>
      </c>
      <c r="H101">
        <f t="shared" ca="1" si="8"/>
        <v>5.5191013850585391E-2</v>
      </c>
      <c r="I101">
        <f t="shared" ca="1" si="8"/>
        <v>5.5146365275698286E-2</v>
      </c>
      <c r="J101">
        <f t="shared" ca="1" si="8"/>
        <v>5.5160091002281413E-2</v>
      </c>
      <c r="K101">
        <f t="shared" ca="1" si="8"/>
        <v>5.5204286094776969E-2</v>
      </c>
      <c r="L101">
        <f t="shared" ca="1" si="8"/>
        <v>5.5323051844804245E-2</v>
      </c>
      <c r="M101">
        <f t="shared" ca="1" si="8"/>
        <v>5.5491686810404221E-2</v>
      </c>
      <c r="N101">
        <f t="shared" ca="1" si="8"/>
        <v>5.5202488060654829E-2</v>
      </c>
    </row>
    <row r="102" spans="4:14" x14ac:dyDescent="0.2">
      <c r="D102">
        <v>100</v>
      </c>
      <c r="E102">
        <f t="shared" ca="1" si="8"/>
        <v>5.5031529419778152E-2</v>
      </c>
      <c r="F102">
        <f t="shared" ca="1" si="8"/>
        <v>5.5398134831756214E-2</v>
      </c>
      <c r="G102">
        <f t="shared" ca="1" si="8"/>
        <v>5.5441261525806064E-2</v>
      </c>
      <c r="H102">
        <f t="shared" ca="1" si="8"/>
        <v>5.5185848902376988E-2</v>
      </c>
      <c r="I102">
        <f t="shared" ca="1" si="8"/>
        <v>5.5155884076421961E-2</v>
      </c>
      <c r="J102">
        <f t="shared" ca="1" si="8"/>
        <v>5.5152539111842237E-2</v>
      </c>
      <c r="K102">
        <f t="shared" ca="1" si="8"/>
        <v>5.5204032827978679E-2</v>
      </c>
      <c r="L102">
        <f t="shared" ca="1" si="8"/>
        <v>5.5319043659357449E-2</v>
      </c>
      <c r="M102">
        <f t="shared" ca="1" si="8"/>
        <v>5.547670969890843E-2</v>
      </c>
      <c r="N102">
        <f t="shared" ca="1" si="8"/>
        <v>5.5233052367993335E-2</v>
      </c>
    </row>
    <row r="103" spans="4:14" x14ac:dyDescent="0.2">
      <c r="D103">
        <v>101</v>
      </c>
      <c r="E103">
        <f t="shared" ca="1" si="8"/>
        <v>5.5052201613520327E-2</v>
      </c>
      <c r="F103">
        <f t="shared" ca="1" si="8"/>
        <v>5.541446027182792E-2</v>
      </c>
      <c r="G103">
        <f t="shared" ca="1" si="8"/>
        <v>5.5437894700333591E-2</v>
      </c>
      <c r="H103">
        <f t="shared" ca="1" si="8"/>
        <v>5.5187490476421484E-2</v>
      </c>
      <c r="I103">
        <f t="shared" ca="1" si="8"/>
        <v>5.5162610319457815E-2</v>
      </c>
      <c r="J103">
        <f t="shared" ca="1" si="8"/>
        <v>5.5159396143968593E-2</v>
      </c>
      <c r="K103">
        <f t="shared" ca="1" si="8"/>
        <v>5.5197703613460367E-2</v>
      </c>
      <c r="L103">
        <f t="shared" ca="1" si="8"/>
        <v>5.5321336752837652E-2</v>
      </c>
      <c r="M103">
        <f t="shared" ca="1" si="8"/>
        <v>5.5462036912128532E-2</v>
      </c>
      <c r="N103">
        <f t="shared" ca="1" si="8"/>
        <v>5.5220654896910359E-2</v>
      </c>
    </row>
    <row r="104" spans="4:14" x14ac:dyDescent="0.2">
      <c r="D104">
        <v>102</v>
      </c>
      <c r="E104">
        <f t="shared" ca="1" si="8"/>
        <v>5.5059657703547579E-2</v>
      </c>
      <c r="F104">
        <f t="shared" ca="1" si="8"/>
        <v>5.5403753103363595E-2</v>
      </c>
      <c r="G104">
        <f t="shared" ca="1" si="8"/>
        <v>5.5426308820532212E-2</v>
      </c>
      <c r="H104">
        <f t="shared" ca="1" si="8"/>
        <v>5.5195739929982751E-2</v>
      </c>
      <c r="I104">
        <f t="shared" ca="1" si="8"/>
        <v>5.5154959303813651E-2</v>
      </c>
      <c r="J104">
        <f t="shared" ca="1" si="8"/>
        <v>5.5152563640657272E-2</v>
      </c>
      <c r="K104">
        <f t="shared" ca="1" si="8"/>
        <v>5.519416778753572E-2</v>
      </c>
      <c r="L104">
        <f t="shared" ca="1" si="8"/>
        <v>5.5345294830122869E-2</v>
      </c>
      <c r="M104">
        <f t="shared" ca="1" si="8"/>
        <v>5.5466103865660588E-2</v>
      </c>
      <c r="N104">
        <f t="shared" ca="1" si="8"/>
        <v>5.52241295340785E-2</v>
      </c>
    </row>
    <row r="105" spans="4:14" x14ac:dyDescent="0.2">
      <c r="D105">
        <v>103</v>
      </c>
      <c r="E105">
        <f t="shared" ca="1" si="8"/>
        <v>5.5051264494674283E-2</v>
      </c>
      <c r="F105">
        <f t="shared" ca="1" si="8"/>
        <v>5.5417144625145735E-2</v>
      </c>
      <c r="G105">
        <f t="shared" ca="1" si="8"/>
        <v>5.5427297447938353E-2</v>
      </c>
      <c r="H105">
        <f t="shared" ca="1" si="8"/>
        <v>5.5177889545267547E-2</v>
      </c>
      <c r="I105">
        <f t="shared" ca="1" si="8"/>
        <v>5.5157672511459477E-2</v>
      </c>
      <c r="J105">
        <f t="shared" ca="1" si="8"/>
        <v>5.5156808523419282E-2</v>
      </c>
      <c r="K105">
        <f t="shared" ca="1" si="8"/>
        <v>5.5183231395930461E-2</v>
      </c>
      <c r="L105">
        <f t="shared" ca="1" si="8"/>
        <v>5.5340361619308817E-2</v>
      </c>
      <c r="M105">
        <f t="shared" ca="1" si="8"/>
        <v>5.5457711945782924E-2</v>
      </c>
      <c r="N105">
        <f t="shared" ca="1" si="8"/>
        <v>5.5230832977398031E-2</v>
      </c>
    </row>
    <row r="106" spans="4:14" x14ac:dyDescent="0.2">
      <c r="D106">
        <v>104</v>
      </c>
      <c r="E106">
        <f t="shared" ca="1" si="8"/>
        <v>5.5042029230181505E-2</v>
      </c>
      <c r="F106">
        <f t="shared" ca="1" si="8"/>
        <v>5.5413799248806073E-2</v>
      </c>
      <c r="G106">
        <f t="shared" ca="1" si="8"/>
        <v>5.5442594354465198E-2</v>
      </c>
      <c r="H106">
        <f t="shared" ca="1" si="8"/>
        <v>5.5199339562613026E-2</v>
      </c>
      <c r="I106">
        <f t="shared" ca="1" si="8"/>
        <v>5.5172512985679253E-2</v>
      </c>
      <c r="J106">
        <f t="shared" ca="1" si="8"/>
        <v>5.5159549181773508E-2</v>
      </c>
      <c r="K106">
        <f t="shared" ca="1" si="8"/>
        <v>5.5179887489089426E-2</v>
      </c>
      <c r="L106">
        <f t="shared" ca="1" si="8"/>
        <v>5.5332400941943402E-2</v>
      </c>
      <c r="M106">
        <f t="shared" ca="1" si="8"/>
        <v>5.5459346465755531E-2</v>
      </c>
      <c r="N106">
        <f t="shared" ca="1" si="8"/>
        <v>5.5222723146835954E-2</v>
      </c>
    </row>
    <row r="107" spans="4:14" x14ac:dyDescent="0.2">
      <c r="D107">
        <v>105</v>
      </c>
      <c r="E107">
        <f t="shared" ca="1" si="8"/>
        <v>5.5041279815411862E-2</v>
      </c>
      <c r="F107">
        <f t="shared" ca="1" si="8"/>
        <v>5.5409699517231195E-2</v>
      </c>
      <c r="G107">
        <f t="shared" ca="1" si="8"/>
        <v>5.5470985917822846E-2</v>
      </c>
      <c r="H107">
        <f t="shared" ca="1" si="8"/>
        <v>5.5210635033174631E-2</v>
      </c>
      <c r="I107">
        <f t="shared" ca="1" si="8"/>
        <v>5.5175539070584818E-2</v>
      </c>
      <c r="J107">
        <f t="shared" ca="1" si="8"/>
        <v>5.5177930304911513E-2</v>
      </c>
      <c r="K107">
        <f t="shared" ca="1" si="8"/>
        <v>5.5202126709595824E-2</v>
      </c>
      <c r="L107">
        <f t="shared" ca="1" si="8"/>
        <v>5.5328840016153319E-2</v>
      </c>
      <c r="M107">
        <f t="shared" ca="1" si="8"/>
        <v>5.547676320956374E-2</v>
      </c>
      <c r="N107">
        <f t="shared" ca="1" si="8"/>
        <v>5.522578111737958E-2</v>
      </c>
    </row>
    <row r="108" spans="4:14" x14ac:dyDescent="0.2">
      <c r="D108">
        <v>106</v>
      </c>
      <c r="E108">
        <f t="shared" ca="1" si="8"/>
        <v>5.5031353644498661E-2</v>
      </c>
      <c r="F108">
        <f t="shared" ca="1" si="8"/>
        <v>5.5419059698057521E-2</v>
      </c>
      <c r="G108">
        <f t="shared" ca="1" si="8"/>
        <v>5.5483073633734586E-2</v>
      </c>
      <c r="H108">
        <f t="shared" ca="1" si="8"/>
        <v>5.5235532234120907E-2</v>
      </c>
      <c r="I108">
        <f t="shared" ca="1" si="8"/>
        <v>5.5167929678361712E-2</v>
      </c>
      <c r="J108">
        <f t="shared" ca="1" si="8"/>
        <v>5.5191043565882766E-2</v>
      </c>
      <c r="K108">
        <f t="shared" ca="1" si="8"/>
        <v>5.5185182539698945E-2</v>
      </c>
      <c r="L108">
        <f t="shared" ca="1" si="8"/>
        <v>5.5330835193297172E-2</v>
      </c>
      <c r="M108">
        <f t="shared" ca="1" si="8"/>
        <v>5.5506093868269171E-2</v>
      </c>
      <c r="N108">
        <f t="shared" ca="1" si="8"/>
        <v>5.5224899981857485E-2</v>
      </c>
    </row>
    <row r="109" spans="4:14" x14ac:dyDescent="0.2">
      <c r="D109">
        <v>107</v>
      </c>
      <c r="E109">
        <f t="shared" ca="1" si="8"/>
        <v>5.5020821997041322E-2</v>
      </c>
      <c r="F109">
        <f t="shared" ca="1" si="8"/>
        <v>5.5413470979634345E-2</v>
      </c>
      <c r="G109">
        <f t="shared" ca="1" si="8"/>
        <v>5.5477425220074185E-2</v>
      </c>
      <c r="H109">
        <f t="shared" ca="1" si="8"/>
        <v>5.5207856683017906E-2</v>
      </c>
      <c r="I109">
        <f t="shared" ca="1" si="8"/>
        <v>5.5169759391732597E-2</v>
      </c>
      <c r="J109">
        <f t="shared" ca="1" si="8"/>
        <v>5.5191416249808722E-2</v>
      </c>
      <c r="K109">
        <f t="shared" ca="1" si="8"/>
        <v>5.5177703787191376E-2</v>
      </c>
      <c r="L109">
        <f t="shared" ca="1" si="8"/>
        <v>5.5319960029003093E-2</v>
      </c>
      <c r="M109">
        <f t="shared" ca="1" si="8"/>
        <v>5.5502728282710675E-2</v>
      </c>
      <c r="N109">
        <f t="shared" ca="1" si="8"/>
        <v>5.5240452706111144E-2</v>
      </c>
    </row>
    <row r="110" spans="4:14" x14ac:dyDescent="0.2">
      <c r="D110">
        <v>108</v>
      </c>
      <c r="E110">
        <f t="shared" ca="1" si="8"/>
        <v>5.5024566103484961E-2</v>
      </c>
      <c r="F110">
        <f t="shared" ca="1" si="8"/>
        <v>5.5404968764620643E-2</v>
      </c>
      <c r="G110">
        <f t="shared" ca="1" si="8"/>
        <v>5.5464287561024089E-2</v>
      </c>
      <c r="H110">
        <f t="shared" ca="1" si="8"/>
        <v>5.5211061009030345E-2</v>
      </c>
      <c r="I110">
        <f t="shared" ca="1" si="8"/>
        <v>5.5166182148225475E-2</v>
      </c>
      <c r="J110">
        <f t="shared" ca="1" si="8"/>
        <v>5.5195400027448452E-2</v>
      </c>
      <c r="K110">
        <f t="shared" ca="1" si="8"/>
        <v>5.517786525907005E-2</v>
      </c>
      <c r="L110">
        <f t="shared" ca="1" si="8"/>
        <v>5.5309605434775824E-2</v>
      </c>
      <c r="M110">
        <f t="shared" ca="1" si="8"/>
        <v>5.5499083474884074E-2</v>
      </c>
      <c r="N110">
        <f t="shared" ca="1" si="8"/>
        <v>5.5246419366362265E-2</v>
      </c>
    </row>
    <row r="111" spans="4:14" x14ac:dyDescent="0.2">
      <c r="D111">
        <v>109</v>
      </c>
      <c r="E111">
        <f t="shared" ca="1" si="8"/>
        <v>5.501618477438272E-2</v>
      </c>
      <c r="F111">
        <f t="shared" ca="1" si="8"/>
        <v>5.5409186214003668E-2</v>
      </c>
      <c r="G111">
        <f t="shared" ca="1" si="8"/>
        <v>5.5464985091004497E-2</v>
      </c>
      <c r="H111">
        <f t="shared" ca="1" si="8"/>
        <v>5.5207085055234147E-2</v>
      </c>
      <c r="I111">
        <f t="shared" ca="1" si="8"/>
        <v>5.517895488196467E-2</v>
      </c>
      <c r="J111">
        <f t="shared" ca="1" si="8"/>
        <v>5.5218971795199301E-2</v>
      </c>
      <c r="K111">
        <f t="shared" ca="1" si="8"/>
        <v>5.5184637879096568E-2</v>
      </c>
      <c r="L111">
        <f t="shared" ca="1" si="8"/>
        <v>5.5314695669866069E-2</v>
      </c>
      <c r="M111">
        <f t="shared" ca="1" si="8"/>
        <v>5.5528647653452189E-2</v>
      </c>
      <c r="N111">
        <f t="shared" ca="1" si="8"/>
        <v>5.5250040434102428E-2</v>
      </c>
    </row>
    <row r="112" spans="4:14" x14ac:dyDescent="0.2">
      <c r="D112">
        <v>110</v>
      </c>
      <c r="E112">
        <f t="shared" ca="1" si="8"/>
        <v>5.502705268953062E-2</v>
      </c>
      <c r="F112">
        <f t="shared" ca="1" si="8"/>
        <v>5.5400018758116641E-2</v>
      </c>
      <c r="G112">
        <f t="shared" ca="1" si="8"/>
        <v>5.5472281846565212E-2</v>
      </c>
      <c r="H112">
        <f t="shared" ca="1" si="8"/>
        <v>5.5216380413602231E-2</v>
      </c>
      <c r="I112">
        <f t="shared" ca="1" si="8"/>
        <v>5.5183962627451177E-2</v>
      </c>
      <c r="J112">
        <f t="shared" ca="1" si="8"/>
        <v>5.5221555689988322E-2</v>
      </c>
      <c r="K112">
        <f t="shared" ca="1" si="8"/>
        <v>5.5199940595736206E-2</v>
      </c>
      <c r="L112">
        <f t="shared" ca="1" si="8"/>
        <v>5.5310423615800818E-2</v>
      </c>
      <c r="M112">
        <f t="shared" ca="1" si="8"/>
        <v>5.5535661077570714E-2</v>
      </c>
      <c r="N112">
        <f t="shared" ca="1" si="8"/>
        <v>5.5258213187827393E-2</v>
      </c>
    </row>
    <row r="113" spans="4:14" x14ac:dyDescent="0.2">
      <c r="D113">
        <v>111</v>
      </c>
      <c r="E113">
        <f t="shared" ca="1" si="8"/>
        <v>5.5018223360506033E-2</v>
      </c>
      <c r="F113">
        <f t="shared" ca="1" si="8"/>
        <v>5.539647065138481E-2</v>
      </c>
      <c r="G113">
        <f t="shared" ca="1" si="8"/>
        <v>5.5463985996264183E-2</v>
      </c>
      <c r="H113">
        <f t="shared" ca="1" si="8"/>
        <v>5.5232112850174868E-2</v>
      </c>
      <c r="I113">
        <f t="shared" ca="1" si="8"/>
        <v>5.5198521621372114E-2</v>
      </c>
      <c r="J113">
        <f t="shared" ca="1" si="8"/>
        <v>5.5229069345736036E-2</v>
      </c>
      <c r="K113">
        <f t="shared" ca="1" si="8"/>
        <v>5.5189953899467528E-2</v>
      </c>
      <c r="L113">
        <f t="shared" ca="1" si="8"/>
        <v>5.5293791458164092E-2</v>
      </c>
      <c r="M113">
        <f t="shared" ca="1" si="8"/>
        <v>5.5522553154976347E-2</v>
      </c>
      <c r="N113">
        <f t="shared" ca="1" si="8"/>
        <v>5.5269701139600474E-2</v>
      </c>
    </row>
    <row r="114" spans="4:14" x14ac:dyDescent="0.2">
      <c r="D114">
        <v>112</v>
      </c>
      <c r="E114">
        <f t="shared" ca="1" si="8"/>
        <v>5.5007582156878655E-2</v>
      </c>
      <c r="F114">
        <f t="shared" ca="1" si="8"/>
        <v>5.5409280362086422E-2</v>
      </c>
      <c r="G114">
        <f t="shared" ca="1" si="8"/>
        <v>5.5470747302044612E-2</v>
      </c>
      <c r="H114">
        <f t="shared" ca="1" si="8"/>
        <v>5.523596479545257E-2</v>
      </c>
      <c r="I114">
        <f t="shared" ca="1" si="8"/>
        <v>5.5205141204210946E-2</v>
      </c>
      <c r="J114">
        <f t="shared" ca="1" si="8"/>
        <v>5.5224267098640638E-2</v>
      </c>
      <c r="K114">
        <f t="shared" ca="1" si="8"/>
        <v>5.518003882067074E-2</v>
      </c>
      <c r="L114">
        <f t="shared" ca="1" si="8"/>
        <v>5.5302305643814297E-2</v>
      </c>
      <c r="M114">
        <f t="shared" ca="1" si="8"/>
        <v>5.5533109104357437E-2</v>
      </c>
      <c r="N114">
        <f t="shared" ca="1" si="8"/>
        <v>5.5287392810460231E-2</v>
      </c>
    </row>
    <row r="115" spans="4:14" x14ac:dyDescent="0.2">
      <c r="D115">
        <v>113</v>
      </c>
      <c r="E115">
        <f t="shared" ca="1" si="8"/>
        <v>5.5023789503034604E-2</v>
      </c>
      <c r="F115">
        <f t="shared" ca="1" si="8"/>
        <v>5.541535229048563E-2</v>
      </c>
      <c r="G115">
        <f t="shared" ca="1" si="8"/>
        <v>5.547225538746417E-2</v>
      </c>
      <c r="H115">
        <f t="shared" ca="1" si="8"/>
        <v>5.5234905037656927E-2</v>
      </c>
      <c r="I115">
        <f t="shared" ca="1" si="8"/>
        <v>5.5200046657937929E-2</v>
      </c>
      <c r="J115">
        <f t="shared" ca="1" si="8"/>
        <v>5.5223698383282449E-2</v>
      </c>
      <c r="K115">
        <f t="shared" ca="1" si="8"/>
        <v>5.5165300082888793E-2</v>
      </c>
      <c r="L115">
        <f t="shared" ca="1" si="8"/>
        <v>5.5311257880703513E-2</v>
      </c>
      <c r="M115">
        <f t="shared" ca="1" si="8"/>
        <v>5.5552781027052231E-2</v>
      </c>
      <c r="N115">
        <f t="shared" ca="1" si="8"/>
        <v>5.5292432620876908E-2</v>
      </c>
    </row>
    <row r="116" spans="4:14" x14ac:dyDescent="0.2">
      <c r="D116">
        <v>114</v>
      </c>
      <c r="E116">
        <f t="shared" ref="E116:N131" ca="1" si="9">$B$1*($B$2-E115)*$B$6+$B$3*SQRT($B$6)*_xlfn.NORM.S.INV(RAND())+E115</f>
        <v>5.5015868100295628E-2</v>
      </c>
      <c r="F116">
        <f t="shared" ca="1" si="9"/>
        <v>5.542025666770975E-2</v>
      </c>
      <c r="G116">
        <f t="shared" ca="1" si="9"/>
        <v>5.5473094936906456E-2</v>
      </c>
      <c r="H116">
        <f t="shared" ca="1" si="9"/>
        <v>5.5217445599509501E-2</v>
      </c>
      <c r="I116">
        <f t="shared" ca="1" si="9"/>
        <v>5.5203295403232301E-2</v>
      </c>
      <c r="J116">
        <f t="shared" ca="1" si="9"/>
        <v>5.5228168985455045E-2</v>
      </c>
      <c r="K116">
        <f t="shared" ca="1" si="9"/>
        <v>5.5158691475448586E-2</v>
      </c>
      <c r="L116">
        <f t="shared" ca="1" si="9"/>
        <v>5.5327682670405436E-2</v>
      </c>
      <c r="M116">
        <f t="shared" ca="1" si="9"/>
        <v>5.5527850400203506E-2</v>
      </c>
      <c r="N116">
        <f t="shared" ca="1" si="9"/>
        <v>5.5304894649236713E-2</v>
      </c>
    </row>
    <row r="117" spans="4:14" x14ac:dyDescent="0.2">
      <c r="D117">
        <v>115</v>
      </c>
      <c r="E117">
        <f t="shared" ca="1" si="9"/>
        <v>5.5017656864522792E-2</v>
      </c>
      <c r="F117">
        <f t="shared" ca="1" si="9"/>
        <v>5.5393132184117559E-2</v>
      </c>
      <c r="G117">
        <f t="shared" ca="1" si="9"/>
        <v>5.5476701690061685E-2</v>
      </c>
      <c r="H117">
        <f t="shared" ca="1" si="9"/>
        <v>5.5233510792614383E-2</v>
      </c>
      <c r="I117">
        <f t="shared" ca="1" si="9"/>
        <v>5.5191700578159836E-2</v>
      </c>
      <c r="J117">
        <f t="shared" ca="1" si="9"/>
        <v>5.523325098039452E-2</v>
      </c>
      <c r="K117">
        <f t="shared" ca="1" si="9"/>
        <v>5.5155735786413536E-2</v>
      </c>
      <c r="L117">
        <f t="shared" ca="1" si="9"/>
        <v>5.5356645694575081E-2</v>
      </c>
      <c r="M117">
        <f t="shared" ca="1" si="9"/>
        <v>5.5533433899090677E-2</v>
      </c>
      <c r="N117">
        <f t="shared" ca="1" si="9"/>
        <v>5.5305515944611944E-2</v>
      </c>
    </row>
    <row r="118" spans="4:14" x14ac:dyDescent="0.2">
      <c r="D118">
        <v>116</v>
      </c>
      <c r="E118">
        <f t="shared" ca="1" si="9"/>
        <v>5.5025972429749472E-2</v>
      </c>
      <c r="F118">
        <f t="shared" ca="1" si="9"/>
        <v>5.5373384045643244E-2</v>
      </c>
      <c r="G118">
        <f t="shared" ca="1" si="9"/>
        <v>5.5474860659573098E-2</v>
      </c>
      <c r="H118">
        <f t="shared" ca="1" si="9"/>
        <v>5.5239213184411974E-2</v>
      </c>
      <c r="I118">
        <f t="shared" ca="1" si="9"/>
        <v>5.518972740678333E-2</v>
      </c>
      <c r="J118">
        <f t="shared" ca="1" si="9"/>
        <v>5.5208053325375352E-2</v>
      </c>
      <c r="K118">
        <f t="shared" ca="1" si="9"/>
        <v>5.5169133083501583E-2</v>
      </c>
      <c r="L118">
        <f t="shared" ca="1" si="9"/>
        <v>5.5347211251849188E-2</v>
      </c>
      <c r="M118">
        <f t="shared" ca="1" si="9"/>
        <v>5.5522794729150581E-2</v>
      </c>
      <c r="N118">
        <f t="shared" ca="1" si="9"/>
        <v>5.5299472688690947E-2</v>
      </c>
    </row>
    <row r="119" spans="4:14" x14ac:dyDescent="0.2">
      <c r="D119">
        <v>117</v>
      </c>
      <c r="E119">
        <f t="shared" ca="1" si="9"/>
        <v>5.5025048392186381E-2</v>
      </c>
      <c r="F119">
        <f t="shared" ca="1" si="9"/>
        <v>5.5359438519027006E-2</v>
      </c>
      <c r="G119">
        <f t="shared" ca="1" si="9"/>
        <v>5.5477367031265649E-2</v>
      </c>
      <c r="H119">
        <f t="shared" ca="1" si="9"/>
        <v>5.5233831822193186E-2</v>
      </c>
      <c r="I119">
        <f t="shared" ca="1" si="9"/>
        <v>5.5165993291253212E-2</v>
      </c>
      <c r="J119">
        <f t="shared" ca="1" si="9"/>
        <v>5.5210322845698837E-2</v>
      </c>
      <c r="K119">
        <f t="shared" ca="1" si="9"/>
        <v>5.5168109343856582E-2</v>
      </c>
      <c r="L119">
        <f t="shared" ca="1" si="9"/>
        <v>5.5349625026207667E-2</v>
      </c>
      <c r="M119">
        <f t="shared" ca="1" si="9"/>
        <v>5.5509976543908539E-2</v>
      </c>
      <c r="N119">
        <f t="shared" ca="1" si="9"/>
        <v>5.5287438939596492E-2</v>
      </c>
    </row>
    <row r="120" spans="4:14" x14ac:dyDescent="0.2">
      <c r="D120">
        <v>118</v>
      </c>
      <c r="E120">
        <f t="shared" ca="1" si="9"/>
        <v>5.504128061118322E-2</v>
      </c>
      <c r="F120">
        <f t="shared" ca="1" si="9"/>
        <v>5.5368512734525865E-2</v>
      </c>
      <c r="G120">
        <f t="shared" ca="1" si="9"/>
        <v>5.54801703224388E-2</v>
      </c>
      <c r="H120">
        <f t="shared" ca="1" si="9"/>
        <v>5.5225617521430695E-2</v>
      </c>
      <c r="I120">
        <f t="shared" ca="1" si="9"/>
        <v>5.51677486777905E-2</v>
      </c>
      <c r="J120">
        <f t="shared" ca="1" si="9"/>
        <v>5.5211568552411855E-2</v>
      </c>
      <c r="K120">
        <f t="shared" ca="1" si="9"/>
        <v>5.5154198656539026E-2</v>
      </c>
      <c r="L120">
        <f t="shared" ca="1" si="9"/>
        <v>5.5351182828303057E-2</v>
      </c>
      <c r="M120">
        <f t="shared" ca="1" si="9"/>
        <v>5.5504491691356871E-2</v>
      </c>
      <c r="N120">
        <f t="shared" ca="1" si="9"/>
        <v>5.5275634442887488E-2</v>
      </c>
    </row>
    <row r="121" spans="4:14" x14ac:dyDescent="0.2">
      <c r="D121">
        <v>119</v>
      </c>
      <c r="E121">
        <f t="shared" ca="1" si="9"/>
        <v>5.5070618894486181E-2</v>
      </c>
      <c r="F121">
        <f t="shared" ca="1" si="9"/>
        <v>5.5364145636628968E-2</v>
      </c>
      <c r="G121">
        <f t="shared" ca="1" si="9"/>
        <v>5.5466788294557368E-2</v>
      </c>
      <c r="H121">
        <f t="shared" ca="1" si="9"/>
        <v>5.5224506983357284E-2</v>
      </c>
      <c r="I121">
        <f t="shared" ca="1" si="9"/>
        <v>5.518044010225117E-2</v>
      </c>
      <c r="J121">
        <f t="shared" ca="1" si="9"/>
        <v>5.5212357962549155E-2</v>
      </c>
      <c r="K121">
        <f t="shared" ca="1" si="9"/>
        <v>5.5169805410871291E-2</v>
      </c>
      <c r="L121">
        <f t="shared" ca="1" si="9"/>
        <v>5.5359171061085406E-2</v>
      </c>
      <c r="M121">
        <f t="shared" ca="1" si="9"/>
        <v>5.5508718890020244E-2</v>
      </c>
      <c r="N121">
        <f t="shared" ca="1" si="9"/>
        <v>5.5255240922179594E-2</v>
      </c>
    </row>
    <row r="122" spans="4:14" x14ac:dyDescent="0.2">
      <c r="D122">
        <v>120</v>
      </c>
      <c r="E122">
        <f t="shared" ca="1" si="9"/>
        <v>5.5065657860316426E-2</v>
      </c>
      <c r="F122">
        <f t="shared" ca="1" si="9"/>
        <v>5.5359036565629315E-2</v>
      </c>
      <c r="G122">
        <f t="shared" ca="1" si="9"/>
        <v>5.5466111985418239E-2</v>
      </c>
      <c r="H122">
        <f t="shared" ca="1" si="9"/>
        <v>5.521542482033609E-2</v>
      </c>
      <c r="I122">
        <f t="shared" ca="1" si="9"/>
        <v>5.5184467092882959E-2</v>
      </c>
      <c r="J122">
        <f t="shared" ca="1" si="9"/>
        <v>5.5205743868060826E-2</v>
      </c>
      <c r="K122">
        <f t="shared" ca="1" si="9"/>
        <v>5.5191421714675622E-2</v>
      </c>
      <c r="L122">
        <f t="shared" ca="1" si="9"/>
        <v>5.5362141832114804E-2</v>
      </c>
      <c r="M122">
        <f t="shared" ca="1" si="9"/>
        <v>5.5509285559761631E-2</v>
      </c>
      <c r="N122">
        <f t="shared" ca="1" si="9"/>
        <v>5.5242696594306979E-2</v>
      </c>
    </row>
    <row r="123" spans="4:14" x14ac:dyDescent="0.2">
      <c r="D123">
        <v>121</v>
      </c>
      <c r="E123">
        <f t="shared" ca="1" si="9"/>
        <v>5.5058138179826896E-2</v>
      </c>
      <c r="F123">
        <f t="shared" ca="1" si="9"/>
        <v>5.5364075356818192E-2</v>
      </c>
      <c r="G123">
        <f t="shared" ca="1" si="9"/>
        <v>5.5465695624360538E-2</v>
      </c>
      <c r="H123">
        <f t="shared" ca="1" si="9"/>
        <v>5.5197913767486208E-2</v>
      </c>
      <c r="I123">
        <f t="shared" ca="1" si="9"/>
        <v>5.5183047190799646E-2</v>
      </c>
      <c r="J123">
        <f t="shared" ca="1" si="9"/>
        <v>5.521690320933198E-2</v>
      </c>
      <c r="K123">
        <f t="shared" ca="1" si="9"/>
        <v>5.5194036643746079E-2</v>
      </c>
      <c r="L123">
        <f t="shared" ca="1" si="9"/>
        <v>5.5381614002552593E-2</v>
      </c>
      <c r="M123">
        <f t="shared" ca="1" si="9"/>
        <v>5.5511099943692369E-2</v>
      </c>
      <c r="N123">
        <f t="shared" ca="1" si="9"/>
        <v>5.5262590468247719E-2</v>
      </c>
    </row>
    <row r="124" spans="4:14" x14ac:dyDescent="0.2">
      <c r="D124">
        <v>122</v>
      </c>
      <c r="E124">
        <f t="shared" ca="1" si="9"/>
        <v>5.5069339927679255E-2</v>
      </c>
      <c r="F124">
        <f t="shared" ca="1" si="9"/>
        <v>5.535442953778328E-2</v>
      </c>
      <c r="G124">
        <f t="shared" ca="1" si="9"/>
        <v>5.5463338541578609E-2</v>
      </c>
      <c r="H124">
        <f t="shared" ca="1" si="9"/>
        <v>5.5198089456628581E-2</v>
      </c>
      <c r="I124">
        <f t="shared" ca="1" si="9"/>
        <v>5.519595517486435E-2</v>
      </c>
      <c r="J124">
        <f t="shared" ca="1" si="9"/>
        <v>5.5237919282112365E-2</v>
      </c>
      <c r="K124">
        <f t="shared" ca="1" si="9"/>
        <v>5.5203157192589496E-2</v>
      </c>
      <c r="L124">
        <f t="shared" ca="1" si="9"/>
        <v>5.5381967168152552E-2</v>
      </c>
      <c r="M124">
        <f t="shared" ca="1" si="9"/>
        <v>5.5497040105611073E-2</v>
      </c>
      <c r="N124">
        <f t="shared" ca="1" si="9"/>
        <v>5.5262436623584828E-2</v>
      </c>
    </row>
    <row r="125" spans="4:14" x14ac:dyDescent="0.2">
      <c r="D125">
        <v>123</v>
      </c>
      <c r="E125">
        <f t="shared" ca="1" si="9"/>
        <v>5.5062563107512438E-2</v>
      </c>
      <c r="F125">
        <f t="shared" ca="1" si="9"/>
        <v>5.5370600704776195E-2</v>
      </c>
      <c r="G125">
        <f t="shared" ca="1" si="9"/>
        <v>5.5451812055555216E-2</v>
      </c>
      <c r="H125">
        <f t="shared" ca="1" si="9"/>
        <v>5.518944845974575E-2</v>
      </c>
      <c r="I125">
        <f t="shared" ca="1" si="9"/>
        <v>5.519980784149417E-2</v>
      </c>
      <c r="J125">
        <f t="shared" ca="1" si="9"/>
        <v>5.5236962437370633E-2</v>
      </c>
      <c r="K125">
        <f t="shared" ca="1" si="9"/>
        <v>5.5205788318305207E-2</v>
      </c>
      <c r="L125">
        <f t="shared" ca="1" si="9"/>
        <v>5.5396636872068861E-2</v>
      </c>
      <c r="M125">
        <f t="shared" ca="1" si="9"/>
        <v>5.5480877629906583E-2</v>
      </c>
      <c r="N125">
        <f t="shared" ca="1" si="9"/>
        <v>5.5294537954608661E-2</v>
      </c>
    </row>
    <row r="126" spans="4:14" x14ac:dyDescent="0.2">
      <c r="D126">
        <v>124</v>
      </c>
      <c r="E126">
        <f t="shared" ca="1" si="9"/>
        <v>5.5065486300036763E-2</v>
      </c>
      <c r="F126">
        <f t="shared" ca="1" si="9"/>
        <v>5.5363575730130926E-2</v>
      </c>
      <c r="G126">
        <f t="shared" ca="1" si="9"/>
        <v>5.5437231112179929E-2</v>
      </c>
      <c r="H126">
        <f t="shared" ca="1" si="9"/>
        <v>5.5191421829954485E-2</v>
      </c>
      <c r="I126">
        <f t="shared" ca="1" si="9"/>
        <v>5.5204762379016482E-2</v>
      </c>
      <c r="J126">
        <f t="shared" ca="1" si="9"/>
        <v>5.5233733285313613E-2</v>
      </c>
      <c r="K126">
        <f t="shared" ca="1" si="9"/>
        <v>5.5209942720034856E-2</v>
      </c>
      <c r="L126">
        <f t="shared" ca="1" si="9"/>
        <v>5.5409002904308474E-2</v>
      </c>
      <c r="M126">
        <f t="shared" ca="1" si="9"/>
        <v>5.5455733937569127E-2</v>
      </c>
      <c r="N126">
        <f t="shared" ca="1" si="9"/>
        <v>5.5288964064248707E-2</v>
      </c>
    </row>
    <row r="127" spans="4:14" x14ac:dyDescent="0.2">
      <c r="D127">
        <v>125</v>
      </c>
      <c r="E127">
        <f t="shared" ca="1" si="9"/>
        <v>5.507581742241046E-2</v>
      </c>
      <c r="F127">
        <f t="shared" ca="1" si="9"/>
        <v>5.5377613977459168E-2</v>
      </c>
      <c r="G127">
        <f t="shared" ca="1" si="9"/>
        <v>5.5446015347408048E-2</v>
      </c>
      <c r="H127">
        <f t="shared" ca="1" si="9"/>
        <v>5.5194392219984366E-2</v>
      </c>
      <c r="I127">
        <f t="shared" ca="1" si="9"/>
        <v>5.5198803278434523E-2</v>
      </c>
      <c r="J127">
        <f t="shared" ca="1" si="9"/>
        <v>5.524934456147667E-2</v>
      </c>
      <c r="K127">
        <f t="shared" ca="1" si="9"/>
        <v>5.520062133528543E-2</v>
      </c>
      <c r="L127">
        <f t="shared" ca="1" si="9"/>
        <v>5.5401789343566148E-2</v>
      </c>
      <c r="M127">
        <f t="shared" ca="1" si="9"/>
        <v>5.5475244210247431E-2</v>
      </c>
      <c r="N127">
        <f t="shared" ca="1" si="9"/>
        <v>5.5287460668385864E-2</v>
      </c>
    </row>
    <row r="128" spans="4:14" x14ac:dyDescent="0.2">
      <c r="D128">
        <v>126</v>
      </c>
      <c r="E128">
        <f t="shared" ca="1" si="9"/>
        <v>5.5077115035147624E-2</v>
      </c>
      <c r="F128">
        <f t="shared" ca="1" si="9"/>
        <v>5.536050328651676E-2</v>
      </c>
      <c r="G128">
        <f t="shared" ca="1" si="9"/>
        <v>5.5435277067693876E-2</v>
      </c>
      <c r="H128">
        <f t="shared" ca="1" si="9"/>
        <v>5.519120618052907E-2</v>
      </c>
      <c r="I128">
        <f t="shared" ca="1" si="9"/>
        <v>5.5200400274135211E-2</v>
      </c>
      <c r="J128">
        <f t="shared" ca="1" si="9"/>
        <v>5.5243081620542589E-2</v>
      </c>
      <c r="K128">
        <f t="shared" ca="1" si="9"/>
        <v>5.5210698953421414E-2</v>
      </c>
      <c r="L128">
        <f t="shared" ca="1" si="9"/>
        <v>5.542124045225609E-2</v>
      </c>
      <c r="M128">
        <f t="shared" ca="1" si="9"/>
        <v>5.5455622231387947E-2</v>
      </c>
      <c r="N128">
        <f t="shared" ca="1" si="9"/>
        <v>5.5295359804788877E-2</v>
      </c>
    </row>
    <row r="129" spans="4:14" x14ac:dyDescent="0.2">
      <c r="D129">
        <v>127</v>
      </c>
      <c r="E129">
        <f t="shared" ca="1" si="9"/>
        <v>5.5088875472055786E-2</v>
      </c>
      <c r="F129">
        <f t="shared" ca="1" si="9"/>
        <v>5.5346343362519736E-2</v>
      </c>
      <c r="G129">
        <f t="shared" ca="1" si="9"/>
        <v>5.5439397724329695E-2</v>
      </c>
      <c r="H129">
        <f t="shared" ca="1" si="9"/>
        <v>5.5198990981871948E-2</v>
      </c>
      <c r="I129">
        <f t="shared" ca="1" si="9"/>
        <v>5.5204808458158866E-2</v>
      </c>
      <c r="J129">
        <f t="shared" ca="1" si="9"/>
        <v>5.5246905667799204E-2</v>
      </c>
      <c r="K129">
        <f t="shared" ca="1" si="9"/>
        <v>5.5212935148335467E-2</v>
      </c>
      <c r="L129">
        <f t="shared" ca="1" si="9"/>
        <v>5.5426345309429866E-2</v>
      </c>
      <c r="M129">
        <f t="shared" ca="1" si="9"/>
        <v>5.5472626604834284E-2</v>
      </c>
      <c r="N129">
        <f t="shared" ca="1" si="9"/>
        <v>5.5298432723220096E-2</v>
      </c>
    </row>
    <row r="130" spans="4:14" x14ac:dyDescent="0.2">
      <c r="D130">
        <v>128</v>
      </c>
      <c r="E130">
        <f t="shared" ca="1" si="9"/>
        <v>5.5083394181565264E-2</v>
      </c>
      <c r="F130">
        <f t="shared" ca="1" si="9"/>
        <v>5.5347202328101495E-2</v>
      </c>
      <c r="G130">
        <f t="shared" ca="1" si="9"/>
        <v>5.5456440535141184E-2</v>
      </c>
      <c r="H130">
        <f t="shared" ca="1" si="9"/>
        <v>5.520579041867419E-2</v>
      </c>
      <c r="I130">
        <f t="shared" ca="1" si="9"/>
        <v>5.519745073485504E-2</v>
      </c>
      <c r="J130">
        <f t="shared" ca="1" si="9"/>
        <v>5.5236390141716357E-2</v>
      </c>
      <c r="K130">
        <f t="shared" ca="1" si="9"/>
        <v>5.5209054845465413E-2</v>
      </c>
      <c r="L130">
        <f t="shared" ca="1" si="9"/>
        <v>5.5443139795903797E-2</v>
      </c>
      <c r="M130">
        <f t="shared" ca="1" si="9"/>
        <v>5.5446978739024363E-2</v>
      </c>
      <c r="N130">
        <f t="shared" ca="1" si="9"/>
        <v>5.5304242015977667E-2</v>
      </c>
    </row>
    <row r="131" spans="4:14" x14ac:dyDescent="0.2">
      <c r="D131">
        <v>129</v>
      </c>
      <c r="E131">
        <f t="shared" ca="1" si="9"/>
        <v>5.5105567737228772E-2</v>
      </c>
      <c r="F131">
        <f t="shared" ca="1" si="9"/>
        <v>5.5324757844164144E-2</v>
      </c>
      <c r="G131">
        <f t="shared" ca="1" si="9"/>
        <v>5.545732750043568E-2</v>
      </c>
      <c r="H131">
        <f t="shared" ca="1" si="9"/>
        <v>5.5197306359865736E-2</v>
      </c>
      <c r="I131">
        <f t="shared" ca="1" si="9"/>
        <v>5.5214022372159326E-2</v>
      </c>
      <c r="J131">
        <f t="shared" ca="1" si="9"/>
        <v>5.5257750415123416E-2</v>
      </c>
      <c r="K131">
        <f t="shared" ca="1" si="9"/>
        <v>5.5197701525369236E-2</v>
      </c>
      <c r="L131">
        <f t="shared" ca="1" si="9"/>
        <v>5.5454950155180795E-2</v>
      </c>
      <c r="M131">
        <f t="shared" ca="1" si="9"/>
        <v>5.5448686407675543E-2</v>
      </c>
      <c r="N131">
        <f t="shared" ca="1" si="9"/>
        <v>5.5300097764693593E-2</v>
      </c>
    </row>
    <row r="132" spans="4:14" x14ac:dyDescent="0.2">
      <c r="D132">
        <v>130</v>
      </c>
      <c r="E132">
        <f t="shared" ref="E132:N147" ca="1" si="10">$B$1*($B$2-E131)*$B$6+$B$3*SQRT($B$6)*_xlfn.NORM.S.INV(RAND())+E131</f>
        <v>5.5106150479941114E-2</v>
      </c>
      <c r="F132">
        <f t="shared" ca="1" si="10"/>
        <v>5.5330359937564341E-2</v>
      </c>
      <c r="G132">
        <f t="shared" ca="1" si="10"/>
        <v>5.5457921448700022E-2</v>
      </c>
      <c r="H132">
        <f t="shared" ca="1" si="10"/>
        <v>5.5205528386285931E-2</v>
      </c>
      <c r="I132">
        <f t="shared" ca="1" si="10"/>
        <v>5.5221916422630822E-2</v>
      </c>
      <c r="J132">
        <f t="shared" ca="1" si="10"/>
        <v>5.5276967428814862E-2</v>
      </c>
      <c r="K132">
        <f t="shared" ca="1" si="10"/>
        <v>5.5214605332618856E-2</v>
      </c>
      <c r="L132">
        <f t="shared" ca="1" si="10"/>
        <v>5.5461818021745643E-2</v>
      </c>
      <c r="M132">
        <f t="shared" ca="1" si="10"/>
        <v>5.5439077775529207E-2</v>
      </c>
      <c r="N132">
        <f t="shared" ca="1" si="10"/>
        <v>5.5298762513185155E-2</v>
      </c>
    </row>
    <row r="133" spans="4:14" x14ac:dyDescent="0.2">
      <c r="D133">
        <v>131</v>
      </c>
      <c r="E133">
        <f t="shared" ca="1" si="10"/>
        <v>5.5118064856044945E-2</v>
      </c>
      <c r="F133">
        <f t="shared" ca="1" si="10"/>
        <v>5.5323040306390459E-2</v>
      </c>
      <c r="G133">
        <f t="shared" ca="1" si="10"/>
        <v>5.5466258965704549E-2</v>
      </c>
      <c r="H133">
        <f t="shared" ca="1" si="10"/>
        <v>5.5210287510233894E-2</v>
      </c>
      <c r="I133">
        <f t="shared" ca="1" si="10"/>
        <v>5.5225264356262321E-2</v>
      </c>
      <c r="J133">
        <f t="shared" ca="1" si="10"/>
        <v>5.5294141681372463E-2</v>
      </c>
      <c r="K133">
        <f t="shared" ca="1" si="10"/>
        <v>5.5227540949014192E-2</v>
      </c>
      <c r="L133">
        <f t="shared" ca="1" si="10"/>
        <v>5.5467224403236835E-2</v>
      </c>
      <c r="M133">
        <f t="shared" ca="1" si="10"/>
        <v>5.545588727111684E-2</v>
      </c>
      <c r="N133">
        <f t="shared" ca="1" si="10"/>
        <v>5.5298436165093771E-2</v>
      </c>
    </row>
    <row r="134" spans="4:14" x14ac:dyDescent="0.2">
      <c r="D134">
        <v>132</v>
      </c>
      <c r="E134">
        <f t="shared" ca="1" si="10"/>
        <v>5.5121154350052201E-2</v>
      </c>
      <c r="F134">
        <f t="shared" ca="1" si="10"/>
        <v>5.530683430111534E-2</v>
      </c>
      <c r="G134">
        <f t="shared" ca="1" si="10"/>
        <v>5.545047362759313E-2</v>
      </c>
      <c r="H134">
        <f t="shared" ca="1" si="10"/>
        <v>5.522203883307733E-2</v>
      </c>
      <c r="I134">
        <f t="shared" ca="1" si="10"/>
        <v>5.5211873955170111E-2</v>
      </c>
      <c r="J134">
        <f t="shared" ca="1" si="10"/>
        <v>5.5301160877428687E-2</v>
      </c>
      <c r="K134">
        <f t="shared" ca="1" si="10"/>
        <v>5.5226639342857764E-2</v>
      </c>
      <c r="L134">
        <f t="shared" ca="1" si="10"/>
        <v>5.5458270433509073E-2</v>
      </c>
      <c r="M134">
        <f t="shared" ca="1" si="10"/>
        <v>5.5461802724882124E-2</v>
      </c>
      <c r="N134">
        <f t="shared" ca="1" si="10"/>
        <v>5.5284717827527627E-2</v>
      </c>
    </row>
    <row r="135" spans="4:14" x14ac:dyDescent="0.2">
      <c r="D135">
        <v>133</v>
      </c>
      <c r="E135">
        <f t="shared" ca="1" si="10"/>
        <v>5.5126819106954446E-2</v>
      </c>
      <c r="F135">
        <f t="shared" ca="1" si="10"/>
        <v>5.5293892056069667E-2</v>
      </c>
      <c r="G135">
        <f t="shared" ca="1" si="10"/>
        <v>5.5444923877349776E-2</v>
      </c>
      <c r="H135">
        <f t="shared" ca="1" si="10"/>
        <v>5.5213792483007521E-2</v>
      </c>
      <c r="I135">
        <f t="shared" ca="1" si="10"/>
        <v>5.5210113924775421E-2</v>
      </c>
      <c r="J135">
        <f t="shared" ca="1" si="10"/>
        <v>5.5296806693945356E-2</v>
      </c>
      <c r="K135">
        <f t="shared" ca="1" si="10"/>
        <v>5.5215239726384389E-2</v>
      </c>
      <c r="L135">
        <f t="shared" ca="1" si="10"/>
        <v>5.545271143485405E-2</v>
      </c>
      <c r="M135">
        <f t="shared" ca="1" si="10"/>
        <v>5.5449208589509059E-2</v>
      </c>
      <c r="N135">
        <f t="shared" ca="1" si="10"/>
        <v>5.5275732326536466E-2</v>
      </c>
    </row>
    <row r="136" spans="4:14" x14ac:dyDescent="0.2">
      <c r="D136">
        <v>134</v>
      </c>
      <c r="E136">
        <f t="shared" ca="1" si="10"/>
        <v>5.5125553678692978E-2</v>
      </c>
      <c r="F136">
        <f t="shared" ca="1" si="10"/>
        <v>5.5309558756387031E-2</v>
      </c>
      <c r="G136">
        <f t="shared" ca="1" si="10"/>
        <v>5.5434802787664557E-2</v>
      </c>
      <c r="H136">
        <f t="shared" ca="1" si="10"/>
        <v>5.5191637440961658E-2</v>
      </c>
      <c r="I136">
        <f t="shared" ca="1" si="10"/>
        <v>5.5191412772345544E-2</v>
      </c>
      <c r="J136">
        <f t="shared" ca="1" si="10"/>
        <v>5.5317911045287833E-2</v>
      </c>
      <c r="K136">
        <f t="shared" ca="1" si="10"/>
        <v>5.5225236548936046E-2</v>
      </c>
      <c r="L136">
        <f t="shared" ca="1" si="10"/>
        <v>5.545101702508088E-2</v>
      </c>
      <c r="M136">
        <f t="shared" ca="1" si="10"/>
        <v>5.5448585919782446E-2</v>
      </c>
      <c r="N136">
        <f t="shared" ca="1" si="10"/>
        <v>5.5276784996040024E-2</v>
      </c>
    </row>
    <row r="137" spans="4:14" x14ac:dyDescent="0.2">
      <c r="D137">
        <v>135</v>
      </c>
      <c r="E137">
        <f t="shared" ca="1" si="10"/>
        <v>5.5097545522830992E-2</v>
      </c>
      <c r="F137">
        <f t="shared" ca="1" si="10"/>
        <v>5.5309053272006754E-2</v>
      </c>
      <c r="G137">
        <f t="shared" ca="1" si="10"/>
        <v>5.5409192134894335E-2</v>
      </c>
      <c r="H137">
        <f t="shared" ca="1" si="10"/>
        <v>5.5185522832267998E-2</v>
      </c>
      <c r="I137">
        <f t="shared" ca="1" si="10"/>
        <v>5.5185043834178771E-2</v>
      </c>
      <c r="J137">
        <f t="shared" ca="1" si="10"/>
        <v>5.5300012096129933E-2</v>
      </c>
      <c r="K137">
        <f t="shared" ca="1" si="10"/>
        <v>5.5218603017215692E-2</v>
      </c>
      <c r="L137">
        <f t="shared" ca="1" si="10"/>
        <v>5.5461878971241899E-2</v>
      </c>
      <c r="M137">
        <f t="shared" ca="1" si="10"/>
        <v>5.5465883475392899E-2</v>
      </c>
      <c r="N137">
        <f t="shared" ca="1" si="10"/>
        <v>5.5278001290464202E-2</v>
      </c>
    </row>
    <row r="138" spans="4:14" x14ac:dyDescent="0.2">
      <c r="D138">
        <v>136</v>
      </c>
      <c r="E138">
        <f t="shared" ca="1" si="10"/>
        <v>5.5106615575701248E-2</v>
      </c>
      <c r="F138">
        <f t="shared" ca="1" si="10"/>
        <v>5.5287485944624161E-2</v>
      </c>
      <c r="G138">
        <f t="shared" ca="1" si="10"/>
        <v>5.5402882868712852E-2</v>
      </c>
      <c r="H138">
        <f t="shared" ca="1" si="10"/>
        <v>5.5174975004228001E-2</v>
      </c>
      <c r="I138">
        <f t="shared" ca="1" si="10"/>
        <v>5.5190832448380016E-2</v>
      </c>
      <c r="J138">
        <f t="shared" ca="1" si="10"/>
        <v>5.5299500474682899E-2</v>
      </c>
      <c r="K138">
        <f t="shared" ca="1" si="10"/>
        <v>5.5220666352511362E-2</v>
      </c>
      <c r="L138">
        <f t="shared" ca="1" si="10"/>
        <v>5.5467167473257972E-2</v>
      </c>
      <c r="M138">
        <f t="shared" ca="1" si="10"/>
        <v>5.5457643339589809E-2</v>
      </c>
      <c r="N138">
        <f t="shared" ca="1" si="10"/>
        <v>5.5269242127256701E-2</v>
      </c>
    </row>
    <row r="139" spans="4:14" x14ac:dyDescent="0.2">
      <c r="D139">
        <v>137</v>
      </c>
      <c r="E139">
        <f t="shared" ca="1" si="10"/>
        <v>5.5099641919441486E-2</v>
      </c>
      <c r="F139">
        <f t="shared" ca="1" si="10"/>
        <v>5.5292664436791657E-2</v>
      </c>
      <c r="G139">
        <f t="shared" ca="1" si="10"/>
        <v>5.5424310695473954E-2</v>
      </c>
      <c r="H139">
        <f t="shared" ca="1" si="10"/>
        <v>5.5173873208953457E-2</v>
      </c>
      <c r="I139">
        <f t="shared" ca="1" si="10"/>
        <v>5.5190654052439884E-2</v>
      </c>
      <c r="J139">
        <f t="shared" ca="1" si="10"/>
        <v>5.5294860025380962E-2</v>
      </c>
      <c r="K139">
        <f t="shared" ca="1" si="10"/>
        <v>5.5234114565085417E-2</v>
      </c>
      <c r="L139">
        <f t="shared" ca="1" si="10"/>
        <v>5.5472284255861405E-2</v>
      </c>
      <c r="M139">
        <f t="shared" ca="1" si="10"/>
        <v>5.5465394368295846E-2</v>
      </c>
      <c r="N139">
        <f t="shared" ca="1" si="10"/>
        <v>5.5270507430773594E-2</v>
      </c>
    </row>
    <row r="140" spans="4:14" x14ac:dyDescent="0.2">
      <c r="D140">
        <v>138</v>
      </c>
      <c r="E140">
        <f t="shared" ca="1" si="10"/>
        <v>5.5093978847054428E-2</v>
      </c>
      <c r="F140">
        <f t="shared" ca="1" si="10"/>
        <v>5.5299338511736906E-2</v>
      </c>
      <c r="G140">
        <f t="shared" ca="1" si="10"/>
        <v>5.5453866078177136E-2</v>
      </c>
      <c r="H140">
        <f t="shared" ca="1" si="10"/>
        <v>5.5165855338505189E-2</v>
      </c>
      <c r="I140">
        <f t="shared" ca="1" si="10"/>
        <v>5.5185810585098062E-2</v>
      </c>
      <c r="J140">
        <f t="shared" ca="1" si="10"/>
        <v>5.5294288435707856E-2</v>
      </c>
      <c r="K140">
        <f t="shared" ca="1" si="10"/>
        <v>5.5232016144130966E-2</v>
      </c>
      <c r="L140">
        <f t="shared" ca="1" si="10"/>
        <v>5.5469193570455065E-2</v>
      </c>
      <c r="M140">
        <f t="shared" ca="1" si="10"/>
        <v>5.5463547490606092E-2</v>
      </c>
      <c r="N140">
        <f t="shared" ca="1" si="10"/>
        <v>5.5291870618612231E-2</v>
      </c>
    </row>
    <row r="141" spans="4:14" x14ac:dyDescent="0.2">
      <c r="D141">
        <v>139</v>
      </c>
      <c r="E141">
        <f t="shared" ca="1" si="10"/>
        <v>5.5083214697576953E-2</v>
      </c>
      <c r="F141">
        <f t="shared" ca="1" si="10"/>
        <v>5.5289755199307664E-2</v>
      </c>
      <c r="G141">
        <f t="shared" ca="1" si="10"/>
        <v>5.5454629628942244E-2</v>
      </c>
      <c r="H141">
        <f t="shared" ca="1" si="10"/>
        <v>5.5169638039431812E-2</v>
      </c>
      <c r="I141">
        <f t="shared" ca="1" si="10"/>
        <v>5.5193658605166764E-2</v>
      </c>
      <c r="J141">
        <f t="shared" ca="1" si="10"/>
        <v>5.5303409012207344E-2</v>
      </c>
      <c r="K141">
        <f t="shared" ca="1" si="10"/>
        <v>5.5237322218954152E-2</v>
      </c>
      <c r="L141">
        <f t="shared" ca="1" si="10"/>
        <v>5.5440401627222233E-2</v>
      </c>
      <c r="M141">
        <f t="shared" ca="1" si="10"/>
        <v>5.5468653910942411E-2</v>
      </c>
      <c r="N141">
        <f t="shared" ca="1" si="10"/>
        <v>5.5288421226493766E-2</v>
      </c>
    </row>
    <row r="142" spans="4:14" x14ac:dyDescent="0.2">
      <c r="D142">
        <v>140</v>
      </c>
      <c r="E142">
        <f t="shared" ca="1" si="10"/>
        <v>5.5099938772917231E-2</v>
      </c>
      <c r="F142">
        <f t="shared" ca="1" si="10"/>
        <v>5.5299448092375587E-2</v>
      </c>
      <c r="G142">
        <f t="shared" ca="1" si="10"/>
        <v>5.5456594709665394E-2</v>
      </c>
      <c r="H142">
        <f t="shared" ca="1" si="10"/>
        <v>5.5158452523010409E-2</v>
      </c>
      <c r="I142">
        <f t="shared" ca="1" si="10"/>
        <v>5.5189787050106943E-2</v>
      </c>
      <c r="J142">
        <f t="shared" ca="1" si="10"/>
        <v>5.5300445165932667E-2</v>
      </c>
      <c r="K142">
        <f t="shared" ca="1" si="10"/>
        <v>5.5232494805124509E-2</v>
      </c>
      <c r="L142">
        <f t="shared" ca="1" si="10"/>
        <v>5.5446155818133336E-2</v>
      </c>
      <c r="M142">
        <f t="shared" ca="1" si="10"/>
        <v>5.5491205420207773E-2</v>
      </c>
      <c r="N142">
        <f t="shared" ca="1" si="10"/>
        <v>5.5287581338258354E-2</v>
      </c>
    </row>
    <row r="143" spans="4:14" x14ac:dyDescent="0.2">
      <c r="D143">
        <v>141</v>
      </c>
      <c r="E143">
        <f t="shared" ca="1" si="10"/>
        <v>5.5102997331356408E-2</v>
      </c>
      <c r="F143">
        <f t="shared" ca="1" si="10"/>
        <v>5.5303525644872981E-2</v>
      </c>
      <c r="G143">
        <f t="shared" ca="1" si="10"/>
        <v>5.5463636757658294E-2</v>
      </c>
      <c r="H143">
        <f t="shared" ca="1" si="10"/>
        <v>5.5152039613212432E-2</v>
      </c>
      <c r="I143">
        <f t="shared" ca="1" si="10"/>
        <v>5.5193396176029225E-2</v>
      </c>
      <c r="J143">
        <f t="shared" ca="1" si="10"/>
        <v>5.5313410438158399E-2</v>
      </c>
      <c r="K143">
        <f t="shared" ca="1" si="10"/>
        <v>5.5250510153986437E-2</v>
      </c>
      <c r="L143">
        <f t="shared" ca="1" si="10"/>
        <v>5.5449557587667606E-2</v>
      </c>
      <c r="M143">
        <f t="shared" ca="1" si="10"/>
        <v>5.5482031450846951E-2</v>
      </c>
      <c r="N143">
        <f t="shared" ca="1" si="10"/>
        <v>5.5288328743098726E-2</v>
      </c>
    </row>
    <row r="144" spans="4:14" x14ac:dyDescent="0.2">
      <c r="D144">
        <v>142</v>
      </c>
      <c r="E144">
        <f t="shared" ca="1" si="10"/>
        <v>5.5107291158557462E-2</v>
      </c>
      <c r="F144">
        <f t="shared" ca="1" si="10"/>
        <v>5.5291085877467408E-2</v>
      </c>
      <c r="G144">
        <f t="shared" ca="1" si="10"/>
        <v>5.5472146157641393E-2</v>
      </c>
      <c r="H144">
        <f t="shared" ca="1" si="10"/>
        <v>5.5130433015726441E-2</v>
      </c>
      <c r="I144">
        <f t="shared" ca="1" si="10"/>
        <v>5.5186380091485708E-2</v>
      </c>
      <c r="J144">
        <f t="shared" ca="1" si="10"/>
        <v>5.5324590874640756E-2</v>
      </c>
      <c r="K144">
        <f t="shared" ca="1" si="10"/>
        <v>5.5254989227367837E-2</v>
      </c>
      <c r="L144">
        <f t="shared" ca="1" si="10"/>
        <v>5.5460468484026172E-2</v>
      </c>
      <c r="M144">
        <f t="shared" ca="1" si="10"/>
        <v>5.5476928768432757E-2</v>
      </c>
      <c r="N144">
        <f t="shared" ca="1" si="10"/>
        <v>5.5295546042666816E-2</v>
      </c>
    </row>
    <row r="145" spans="4:14" x14ac:dyDescent="0.2">
      <c r="D145">
        <v>143</v>
      </c>
      <c r="E145">
        <f t="shared" ca="1" si="10"/>
        <v>5.5128017500505951E-2</v>
      </c>
      <c r="F145">
        <f t="shared" ca="1" si="10"/>
        <v>5.5267478063579061E-2</v>
      </c>
      <c r="G145">
        <f t="shared" ca="1" si="10"/>
        <v>5.5456112803992035E-2</v>
      </c>
      <c r="H145">
        <f t="shared" ca="1" si="10"/>
        <v>5.5126441876641681E-2</v>
      </c>
      <c r="I145">
        <f t="shared" ca="1" si="10"/>
        <v>5.5206032514597631E-2</v>
      </c>
      <c r="J145">
        <f t="shared" ca="1" si="10"/>
        <v>5.5297835834060213E-2</v>
      </c>
      <c r="K145">
        <f t="shared" ca="1" si="10"/>
        <v>5.5253145231344468E-2</v>
      </c>
      <c r="L145">
        <f t="shared" ca="1" si="10"/>
        <v>5.5459185882828888E-2</v>
      </c>
      <c r="M145">
        <f t="shared" ca="1" si="10"/>
        <v>5.5498209455580774E-2</v>
      </c>
      <c r="N145">
        <f t="shared" ca="1" si="10"/>
        <v>5.533660650344855E-2</v>
      </c>
    </row>
    <row r="146" spans="4:14" x14ac:dyDescent="0.2">
      <c r="D146">
        <v>144</v>
      </c>
      <c r="E146">
        <f t="shared" ca="1" si="10"/>
        <v>5.5116631601696768E-2</v>
      </c>
      <c r="F146">
        <f t="shared" ca="1" si="10"/>
        <v>5.5295131261828709E-2</v>
      </c>
      <c r="G146">
        <f t="shared" ca="1" si="10"/>
        <v>5.5436317168372364E-2</v>
      </c>
      <c r="H146">
        <f t="shared" ca="1" si="10"/>
        <v>5.5126177076622533E-2</v>
      </c>
      <c r="I146">
        <f t="shared" ca="1" si="10"/>
        <v>5.5221456465873939E-2</v>
      </c>
      <c r="J146">
        <f t="shared" ca="1" si="10"/>
        <v>5.5300853282220647E-2</v>
      </c>
      <c r="K146">
        <f t="shared" ca="1" si="10"/>
        <v>5.5270521735947938E-2</v>
      </c>
      <c r="L146">
        <f t="shared" ca="1" si="10"/>
        <v>5.5471148705082081E-2</v>
      </c>
      <c r="M146">
        <f t="shared" ca="1" si="10"/>
        <v>5.5492537707706631E-2</v>
      </c>
      <c r="N146">
        <f t="shared" ca="1" si="10"/>
        <v>5.5342170064821304E-2</v>
      </c>
    </row>
    <row r="147" spans="4:14" x14ac:dyDescent="0.2">
      <c r="D147">
        <v>145</v>
      </c>
      <c r="E147">
        <f t="shared" ca="1" si="10"/>
        <v>5.5144753837038395E-2</v>
      </c>
      <c r="F147">
        <f t="shared" ca="1" si="10"/>
        <v>5.5271237058436895E-2</v>
      </c>
      <c r="G147">
        <f t="shared" ca="1" si="10"/>
        <v>5.5414788180515165E-2</v>
      </c>
      <c r="H147">
        <f t="shared" ca="1" si="10"/>
        <v>5.5144773029459547E-2</v>
      </c>
      <c r="I147">
        <f t="shared" ca="1" si="10"/>
        <v>5.5220202842963605E-2</v>
      </c>
      <c r="J147">
        <f t="shared" ca="1" si="10"/>
        <v>5.5292656641995674E-2</v>
      </c>
      <c r="K147">
        <f t="shared" ca="1" si="10"/>
        <v>5.5261151153025108E-2</v>
      </c>
      <c r="L147">
        <f t="shared" ca="1" si="10"/>
        <v>5.5479104413996901E-2</v>
      </c>
      <c r="M147">
        <f t="shared" ca="1" si="10"/>
        <v>5.5499196275896029E-2</v>
      </c>
      <c r="N147">
        <f t="shared" ca="1" si="10"/>
        <v>5.5327586841735638E-2</v>
      </c>
    </row>
    <row r="148" spans="4:14" x14ac:dyDescent="0.2">
      <c r="D148">
        <v>146</v>
      </c>
      <c r="E148">
        <f t="shared" ref="E148:N163" ca="1" si="11">$B$1*($B$2-E147)*$B$6+$B$3*SQRT($B$6)*_xlfn.NORM.S.INV(RAND())+E147</f>
        <v>5.5156376772694367E-2</v>
      </c>
      <c r="F148">
        <f t="shared" ca="1" si="11"/>
        <v>5.527139881182512E-2</v>
      </c>
      <c r="G148">
        <f t="shared" ca="1" si="11"/>
        <v>5.5407480864544036E-2</v>
      </c>
      <c r="H148">
        <f t="shared" ca="1" si="11"/>
        <v>5.5157951596407281E-2</v>
      </c>
      <c r="I148">
        <f t="shared" ca="1" si="11"/>
        <v>5.5215220551997991E-2</v>
      </c>
      <c r="J148">
        <f t="shared" ca="1" si="11"/>
        <v>5.5293643610364186E-2</v>
      </c>
      <c r="K148">
        <f t="shared" ca="1" si="11"/>
        <v>5.5271366654585652E-2</v>
      </c>
      <c r="L148">
        <f t="shared" ca="1" si="11"/>
        <v>5.5465338922695298E-2</v>
      </c>
      <c r="M148">
        <f t="shared" ca="1" si="11"/>
        <v>5.5500540737616205E-2</v>
      </c>
      <c r="N148">
        <f t="shared" ca="1" si="11"/>
        <v>5.532034877847395E-2</v>
      </c>
    </row>
    <row r="149" spans="4:14" x14ac:dyDescent="0.2">
      <c r="D149">
        <v>147</v>
      </c>
      <c r="E149">
        <f t="shared" ca="1" si="11"/>
        <v>5.5147835538310326E-2</v>
      </c>
      <c r="F149">
        <f t="shared" ca="1" si="11"/>
        <v>5.5282244270949132E-2</v>
      </c>
      <c r="G149">
        <f t="shared" ca="1" si="11"/>
        <v>5.5410717940594684E-2</v>
      </c>
      <c r="H149">
        <f t="shared" ca="1" si="11"/>
        <v>5.5166181523130312E-2</v>
      </c>
      <c r="I149">
        <f t="shared" ca="1" si="11"/>
        <v>5.521615177060827E-2</v>
      </c>
      <c r="J149">
        <f t="shared" ca="1" si="11"/>
        <v>5.5287714010328413E-2</v>
      </c>
      <c r="K149">
        <f t="shared" ca="1" si="11"/>
        <v>5.5288235721961149E-2</v>
      </c>
      <c r="L149">
        <f t="shared" ca="1" si="11"/>
        <v>5.5462706897955009E-2</v>
      </c>
      <c r="M149">
        <f t="shared" ca="1" si="11"/>
        <v>5.5514542027225916E-2</v>
      </c>
      <c r="N149">
        <f t="shared" ca="1" si="11"/>
        <v>5.5330320449763382E-2</v>
      </c>
    </row>
    <row r="150" spans="4:14" x14ac:dyDescent="0.2">
      <c r="D150">
        <v>148</v>
      </c>
      <c r="E150">
        <f t="shared" ca="1" si="11"/>
        <v>5.5149311605924345E-2</v>
      </c>
      <c r="F150">
        <f t="shared" ca="1" si="11"/>
        <v>5.5278143561410802E-2</v>
      </c>
      <c r="G150">
        <f t="shared" ca="1" si="11"/>
        <v>5.540909988223526E-2</v>
      </c>
      <c r="H150">
        <f t="shared" ca="1" si="11"/>
        <v>5.5179289890252371E-2</v>
      </c>
      <c r="I150">
        <f t="shared" ca="1" si="11"/>
        <v>5.5216028644521714E-2</v>
      </c>
      <c r="J150">
        <f t="shared" ca="1" si="11"/>
        <v>5.5284068337942152E-2</v>
      </c>
      <c r="K150">
        <f t="shared" ca="1" si="11"/>
        <v>5.5283227233814472E-2</v>
      </c>
      <c r="L150">
        <f t="shared" ca="1" si="11"/>
        <v>5.5481724888807094E-2</v>
      </c>
      <c r="M150">
        <f t="shared" ca="1" si="11"/>
        <v>5.5531164471871564E-2</v>
      </c>
      <c r="N150">
        <f t="shared" ca="1" si="11"/>
        <v>5.5335067437941851E-2</v>
      </c>
    </row>
    <row r="151" spans="4:14" x14ac:dyDescent="0.2">
      <c r="D151">
        <v>149</v>
      </c>
      <c r="E151">
        <f t="shared" ca="1" si="11"/>
        <v>5.5158766251195791E-2</v>
      </c>
      <c r="F151">
        <f t="shared" ca="1" si="11"/>
        <v>5.528292444970935E-2</v>
      </c>
      <c r="G151">
        <f t="shared" ca="1" si="11"/>
        <v>5.5400212227950177E-2</v>
      </c>
      <c r="H151">
        <f t="shared" ca="1" si="11"/>
        <v>5.517136358290381E-2</v>
      </c>
      <c r="I151">
        <f t="shared" ca="1" si="11"/>
        <v>5.5218156827546494E-2</v>
      </c>
      <c r="J151">
        <f t="shared" ca="1" si="11"/>
        <v>5.5287468505760183E-2</v>
      </c>
      <c r="K151">
        <f t="shared" ca="1" si="11"/>
        <v>5.526184675283613E-2</v>
      </c>
      <c r="L151">
        <f t="shared" ca="1" si="11"/>
        <v>5.5476609109512187E-2</v>
      </c>
      <c r="M151">
        <f t="shared" ca="1" si="11"/>
        <v>5.554826472493711E-2</v>
      </c>
      <c r="N151">
        <f t="shared" ca="1" si="11"/>
        <v>5.5339937114873727E-2</v>
      </c>
    </row>
    <row r="152" spans="4:14" x14ac:dyDescent="0.2">
      <c r="D152">
        <v>150</v>
      </c>
      <c r="E152">
        <f t="shared" ca="1" si="11"/>
        <v>5.5150949238747971E-2</v>
      </c>
      <c r="F152">
        <f t="shared" ca="1" si="11"/>
        <v>5.5276453565281498E-2</v>
      </c>
      <c r="G152">
        <f t="shared" ca="1" si="11"/>
        <v>5.5399110220647321E-2</v>
      </c>
      <c r="H152">
        <f t="shared" ca="1" si="11"/>
        <v>5.5178103574775185E-2</v>
      </c>
      <c r="I152">
        <f t="shared" ca="1" si="11"/>
        <v>5.5217719011113747E-2</v>
      </c>
      <c r="J152">
        <f t="shared" ca="1" si="11"/>
        <v>5.5279755917639707E-2</v>
      </c>
      <c r="K152">
        <f t="shared" ca="1" si="11"/>
        <v>5.5260849964911908E-2</v>
      </c>
      <c r="L152">
        <f t="shared" ca="1" si="11"/>
        <v>5.5471458800717723E-2</v>
      </c>
      <c r="M152">
        <f t="shared" ca="1" si="11"/>
        <v>5.5540368459763012E-2</v>
      </c>
      <c r="N152">
        <f t="shared" ca="1" si="11"/>
        <v>5.5345585652271753E-2</v>
      </c>
    </row>
    <row r="153" spans="4:14" x14ac:dyDescent="0.2">
      <c r="D153">
        <v>151</v>
      </c>
      <c r="E153">
        <f t="shared" ca="1" si="11"/>
        <v>5.5145417994397261E-2</v>
      </c>
      <c r="F153">
        <f t="shared" ca="1" si="11"/>
        <v>5.5279787913300057E-2</v>
      </c>
      <c r="G153">
        <f t="shared" ca="1" si="11"/>
        <v>5.539048529257614E-2</v>
      </c>
      <c r="H153">
        <f t="shared" ca="1" si="11"/>
        <v>5.5190401453085125E-2</v>
      </c>
      <c r="I153">
        <f t="shared" ca="1" si="11"/>
        <v>5.5211460977839792E-2</v>
      </c>
      <c r="J153">
        <f t="shared" ca="1" si="11"/>
        <v>5.5279359075352523E-2</v>
      </c>
      <c r="K153">
        <f t="shared" ca="1" si="11"/>
        <v>5.5272484651005274E-2</v>
      </c>
      <c r="L153">
        <f t="shared" ca="1" si="11"/>
        <v>5.5475611810724107E-2</v>
      </c>
      <c r="M153">
        <f t="shared" ca="1" si="11"/>
        <v>5.5542592441622449E-2</v>
      </c>
      <c r="N153">
        <f t="shared" ca="1" si="11"/>
        <v>5.5356315437730126E-2</v>
      </c>
    </row>
    <row r="154" spans="4:14" x14ac:dyDescent="0.2">
      <c r="D154">
        <v>152</v>
      </c>
      <c r="E154">
        <f t="shared" ca="1" si="11"/>
        <v>5.5169347724693583E-2</v>
      </c>
      <c r="F154">
        <f t="shared" ca="1" si="11"/>
        <v>5.5273917372489011E-2</v>
      </c>
      <c r="G154">
        <f t="shared" ca="1" si="11"/>
        <v>5.5411791368586837E-2</v>
      </c>
      <c r="H154">
        <f t="shared" ca="1" si="11"/>
        <v>5.5169867788510803E-2</v>
      </c>
      <c r="I154">
        <f t="shared" ca="1" si="11"/>
        <v>5.5219499052881496E-2</v>
      </c>
      <c r="J154">
        <f t="shared" ca="1" si="11"/>
        <v>5.5281052193699512E-2</v>
      </c>
      <c r="K154">
        <f t="shared" ca="1" si="11"/>
        <v>5.5266082530668025E-2</v>
      </c>
      <c r="L154">
        <f t="shared" ca="1" si="11"/>
        <v>5.5486843608804015E-2</v>
      </c>
      <c r="M154">
        <f t="shared" ca="1" si="11"/>
        <v>5.5547705656665246E-2</v>
      </c>
      <c r="N154">
        <f t="shared" ca="1" si="11"/>
        <v>5.5362831565616839E-2</v>
      </c>
    </row>
    <row r="155" spans="4:14" x14ac:dyDescent="0.2">
      <c r="D155">
        <v>153</v>
      </c>
      <c r="E155">
        <f t="shared" ca="1" si="11"/>
        <v>5.5171353470468351E-2</v>
      </c>
      <c r="F155">
        <f t="shared" ca="1" si="11"/>
        <v>5.5268284508911608E-2</v>
      </c>
      <c r="G155">
        <f t="shared" ca="1" si="11"/>
        <v>5.542720256339187E-2</v>
      </c>
      <c r="H155">
        <f t="shared" ca="1" si="11"/>
        <v>5.5159556452118605E-2</v>
      </c>
      <c r="I155">
        <f t="shared" ca="1" si="11"/>
        <v>5.5223453535711196E-2</v>
      </c>
      <c r="J155">
        <f t="shared" ca="1" si="11"/>
        <v>5.526672521690873E-2</v>
      </c>
      <c r="K155">
        <f t="shared" ca="1" si="11"/>
        <v>5.5260769358722588E-2</v>
      </c>
      <c r="L155">
        <f t="shared" ca="1" si="11"/>
        <v>5.5487863170863183E-2</v>
      </c>
      <c r="M155">
        <f t="shared" ca="1" si="11"/>
        <v>5.5545519050295429E-2</v>
      </c>
      <c r="N155">
        <f t="shared" ca="1" si="11"/>
        <v>5.5355801746415009E-2</v>
      </c>
    </row>
    <row r="156" spans="4:14" x14ac:dyDescent="0.2">
      <c r="D156">
        <v>154</v>
      </c>
      <c r="E156">
        <f t="shared" ca="1" si="11"/>
        <v>5.5178368632560294E-2</v>
      </c>
      <c r="F156">
        <f t="shared" ca="1" si="11"/>
        <v>5.5246439421540013E-2</v>
      </c>
      <c r="G156">
        <f t="shared" ca="1" si="11"/>
        <v>5.5421617284320671E-2</v>
      </c>
      <c r="H156">
        <f t="shared" ca="1" si="11"/>
        <v>5.5172160473534626E-2</v>
      </c>
      <c r="I156">
        <f t="shared" ca="1" si="11"/>
        <v>5.5220100471575377E-2</v>
      </c>
      <c r="J156">
        <f t="shared" ca="1" si="11"/>
        <v>5.5275814443055384E-2</v>
      </c>
      <c r="K156">
        <f t="shared" ca="1" si="11"/>
        <v>5.5257573262514771E-2</v>
      </c>
      <c r="L156">
        <f t="shared" ca="1" si="11"/>
        <v>5.5498205432269729E-2</v>
      </c>
      <c r="M156">
        <f t="shared" ca="1" si="11"/>
        <v>5.555675585321565E-2</v>
      </c>
      <c r="N156">
        <f t="shared" ca="1" si="11"/>
        <v>5.536457913692415E-2</v>
      </c>
    </row>
    <row r="157" spans="4:14" x14ac:dyDescent="0.2">
      <c r="D157">
        <v>155</v>
      </c>
      <c r="E157">
        <f t="shared" ca="1" si="11"/>
        <v>5.5189081800900673E-2</v>
      </c>
      <c r="F157">
        <f t="shared" ca="1" si="11"/>
        <v>5.5234055245030771E-2</v>
      </c>
      <c r="G157">
        <f t="shared" ca="1" si="11"/>
        <v>5.5419926027134414E-2</v>
      </c>
      <c r="H157">
        <f t="shared" ca="1" si="11"/>
        <v>5.5163919018256034E-2</v>
      </c>
      <c r="I157">
        <f t="shared" ca="1" si="11"/>
        <v>5.5213294093390354E-2</v>
      </c>
      <c r="J157">
        <f t="shared" ca="1" si="11"/>
        <v>5.5269660021762548E-2</v>
      </c>
      <c r="K157">
        <f t="shared" ca="1" si="11"/>
        <v>5.5248600563873047E-2</v>
      </c>
      <c r="L157">
        <f t="shared" ca="1" si="11"/>
        <v>5.5506688673745315E-2</v>
      </c>
      <c r="M157">
        <f t="shared" ca="1" si="11"/>
        <v>5.5579017712981849E-2</v>
      </c>
      <c r="N157">
        <f t="shared" ca="1" si="11"/>
        <v>5.5379317963157662E-2</v>
      </c>
    </row>
    <row r="158" spans="4:14" x14ac:dyDescent="0.2">
      <c r="D158">
        <v>156</v>
      </c>
      <c r="E158">
        <f t="shared" ca="1" si="11"/>
        <v>5.5172089960573961E-2</v>
      </c>
      <c r="F158">
        <f t="shared" ca="1" si="11"/>
        <v>5.5235933518807193E-2</v>
      </c>
      <c r="G158">
        <f t="shared" ca="1" si="11"/>
        <v>5.5432535472672982E-2</v>
      </c>
      <c r="H158">
        <f t="shared" ca="1" si="11"/>
        <v>5.5166961121880971E-2</v>
      </c>
      <c r="I158">
        <f t="shared" ca="1" si="11"/>
        <v>5.5215525287132618E-2</v>
      </c>
      <c r="J158">
        <f t="shared" ca="1" si="11"/>
        <v>5.526975077508349E-2</v>
      </c>
      <c r="K158">
        <f t="shared" ca="1" si="11"/>
        <v>5.5261932453171736E-2</v>
      </c>
      <c r="L158">
        <f t="shared" ca="1" si="11"/>
        <v>5.5492060114536813E-2</v>
      </c>
      <c r="M158">
        <f t="shared" ca="1" si="11"/>
        <v>5.5586818282311982E-2</v>
      </c>
      <c r="N158">
        <f t="shared" ca="1" si="11"/>
        <v>5.5374377802346296E-2</v>
      </c>
    </row>
    <row r="159" spans="4:14" x14ac:dyDescent="0.2">
      <c r="D159">
        <v>157</v>
      </c>
      <c r="E159">
        <f t="shared" ca="1" si="11"/>
        <v>5.5173240892517565E-2</v>
      </c>
      <c r="F159">
        <f t="shared" ca="1" si="11"/>
        <v>5.5223031166805867E-2</v>
      </c>
      <c r="G159">
        <f t="shared" ca="1" si="11"/>
        <v>5.5438293356713013E-2</v>
      </c>
      <c r="H159">
        <f t="shared" ca="1" si="11"/>
        <v>5.5165856620299769E-2</v>
      </c>
      <c r="I159">
        <f t="shared" ca="1" si="11"/>
        <v>5.5225288635460126E-2</v>
      </c>
      <c r="J159">
        <f t="shared" ca="1" si="11"/>
        <v>5.5253639931695006E-2</v>
      </c>
      <c r="K159">
        <f t="shared" ca="1" si="11"/>
        <v>5.5272598600916253E-2</v>
      </c>
      <c r="L159">
        <f t="shared" ca="1" si="11"/>
        <v>5.5488832068455216E-2</v>
      </c>
      <c r="M159">
        <f t="shared" ca="1" si="11"/>
        <v>5.5585203303593511E-2</v>
      </c>
      <c r="N159">
        <f t="shared" ca="1" si="11"/>
        <v>5.5385846619045588E-2</v>
      </c>
    </row>
    <row r="160" spans="4:14" x14ac:dyDescent="0.2">
      <c r="D160">
        <v>158</v>
      </c>
      <c r="E160">
        <f t="shared" ca="1" si="11"/>
        <v>5.5163430878834567E-2</v>
      </c>
      <c r="F160">
        <f t="shared" ca="1" si="11"/>
        <v>5.5213490353546939E-2</v>
      </c>
      <c r="G160">
        <f t="shared" ca="1" si="11"/>
        <v>5.5446471511110984E-2</v>
      </c>
      <c r="H160">
        <f t="shared" ca="1" si="11"/>
        <v>5.5174192375151969E-2</v>
      </c>
      <c r="I160">
        <f t="shared" ca="1" si="11"/>
        <v>5.5223989515974285E-2</v>
      </c>
      <c r="J160">
        <f t="shared" ca="1" si="11"/>
        <v>5.5240975261735548E-2</v>
      </c>
      <c r="K160">
        <f t="shared" ca="1" si="11"/>
        <v>5.5273816494185918E-2</v>
      </c>
      <c r="L160">
        <f t="shared" ca="1" si="11"/>
        <v>5.5484740141701287E-2</v>
      </c>
      <c r="M160">
        <f t="shared" ca="1" si="11"/>
        <v>5.556059231823305E-2</v>
      </c>
      <c r="N160">
        <f t="shared" ca="1" si="11"/>
        <v>5.5388074725353939E-2</v>
      </c>
    </row>
    <row r="161" spans="4:14" x14ac:dyDescent="0.2">
      <c r="D161">
        <v>159</v>
      </c>
      <c r="E161">
        <f t="shared" ca="1" si="11"/>
        <v>5.5150766848076981E-2</v>
      </c>
      <c r="F161">
        <f t="shared" ca="1" si="11"/>
        <v>5.5213656307075601E-2</v>
      </c>
      <c r="G161">
        <f t="shared" ca="1" si="11"/>
        <v>5.5470327241024478E-2</v>
      </c>
      <c r="H161">
        <f t="shared" ca="1" si="11"/>
        <v>5.5177714545644282E-2</v>
      </c>
      <c r="I161">
        <f t="shared" ca="1" si="11"/>
        <v>5.5218667302710606E-2</v>
      </c>
      <c r="J161">
        <f t="shared" ca="1" si="11"/>
        <v>5.5247236630965466E-2</v>
      </c>
      <c r="K161">
        <f t="shared" ca="1" si="11"/>
        <v>5.52890366548075E-2</v>
      </c>
      <c r="L161">
        <f t="shared" ca="1" si="11"/>
        <v>5.5477753475710656E-2</v>
      </c>
      <c r="M161">
        <f t="shared" ca="1" si="11"/>
        <v>5.5566713724613588E-2</v>
      </c>
      <c r="N161">
        <f t="shared" ca="1" si="11"/>
        <v>5.5388692592042849E-2</v>
      </c>
    </row>
    <row r="162" spans="4:14" x14ac:dyDescent="0.2">
      <c r="D162">
        <v>160</v>
      </c>
      <c r="E162">
        <f t="shared" ca="1" si="11"/>
        <v>5.5144138400523131E-2</v>
      </c>
      <c r="F162">
        <f t="shared" ca="1" si="11"/>
        <v>5.5229200111068355E-2</v>
      </c>
      <c r="G162">
        <f t="shared" ca="1" si="11"/>
        <v>5.5476541821519648E-2</v>
      </c>
      <c r="H162">
        <f t="shared" ca="1" si="11"/>
        <v>5.5173623803848451E-2</v>
      </c>
      <c r="I162">
        <f t="shared" ca="1" si="11"/>
        <v>5.522586060848899E-2</v>
      </c>
      <c r="J162">
        <f t="shared" ca="1" si="11"/>
        <v>5.5249387370185102E-2</v>
      </c>
      <c r="K162">
        <f t="shared" ca="1" si="11"/>
        <v>5.5282584413695844E-2</v>
      </c>
      <c r="L162">
        <f t="shared" ca="1" si="11"/>
        <v>5.5470116170698809E-2</v>
      </c>
      <c r="M162">
        <f t="shared" ca="1" si="11"/>
        <v>5.5568851186404797E-2</v>
      </c>
      <c r="N162">
        <f t="shared" ca="1" si="11"/>
        <v>5.5392677205836925E-2</v>
      </c>
    </row>
    <row r="163" spans="4:14" x14ac:dyDescent="0.2">
      <c r="D163">
        <v>161</v>
      </c>
      <c r="E163">
        <f t="shared" ca="1" si="11"/>
        <v>5.5159891460369218E-2</v>
      </c>
      <c r="F163">
        <f t="shared" ca="1" si="11"/>
        <v>5.5222521250834759E-2</v>
      </c>
      <c r="G163">
        <f t="shared" ca="1" si="11"/>
        <v>5.5452496982990207E-2</v>
      </c>
      <c r="H163">
        <f t="shared" ca="1" si="11"/>
        <v>5.5158761877792457E-2</v>
      </c>
      <c r="I163">
        <f t="shared" ca="1" si="11"/>
        <v>5.5232454432441014E-2</v>
      </c>
      <c r="J163">
        <f t="shared" ca="1" si="11"/>
        <v>5.5253362605714451E-2</v>
      </c>
      <c r="K163">
        <f t="shared" ca="1" si="11"/>
        <v>5.5286561019972723E-2</v>
      </c>
      <c r="L163">
        <f t="shared" ca="1" si="11"/>
        <v>5.547064969578016E-2</v>
      </c>
      <c r="M163">
        <f t="shared" ca="1" si="11"/>
        <v>5.5578652035551242E-2</v>
      </c>
      <c r="N163">
        <f t="shared" ca="1" si="11"/>
        <v>5.5393251858630636E-2</v>
      </c>
    </row>
    <row r="164" spans="4:14" x14ac:dyDescent="0.2">
      <c r="D164">
        <v>162</v>
      </c>
      <c r="E164">
        <f t="shared" ref="E164:N179" ca="1" si="12">$B$1*($B$2-E163)*$B$6+$B$3*SQRT($B$6)*_xlfn.NORM.S.INV(RAND())+E163</f>
        <v>5.515923356401372E-2</v>
      </c>
      <c r="F164">
        <f t="shared" ca="1" si="12"/>
        <v>5.5229192889760505E-2</v>
      </c>
      <c r="G164">
        <f t="shared" ca="1" si="12"/>
        <v>5.5438523764293812E-2</v>
      </c>
      <c r="H164">
        <f t="shared" ca="1" si="12"/>
        <v>5.5193262869060192E-2</v>
      </c>
      <c r="I164">
        <f t="shared" ca="1" si="12"/>
        <v>5.5232285998272436E-2</v>
      </c>
      <c r="J164">
        <f t="shared" ca="1" si="12"/>
        <v>5.5254876900056211E-2</v>
      </c>
      <c r="K164">
        <f t="shared" ca="1" si="12"/>
        <v>5.5279042413239055E-2</v>
      </c>
      <c r="L164">
        <f t="shared" ca="1" si="12"/>
        <v>5.5483412486968309E-2</v>
      </c>
      <c r="M164">
        <f t="shared" ca="1" si="12"/>
        <v>5.5563984459030616E-2</v>
      </c>
      <c r="N164">
        <f t="shared" ca="1" si="12"/>
        <v>5.5391806574857497E-2</v>
      </c>
    </row>
    <row r="165" spans="4:14" x14ac:dyDescent="0.2">
      <c r="D165">
        <v>163</v>
      </c>
      <c r="E165">
        <f t="shared" ca="1" si="12"/>
        <v>5.51621821045718E-2</v>
      </c>
      <c r="F165">
        <f t="shared" ca="1" si="12"/>
        <v>5.5244139366231682E-2</v>
      </c>
      <c r="G165">
        <f t="shared" ca="1" si="12"/>
        <v>5.5444405306112443E-2</v>
      </c>
      <c r="H165">
        <f t="shared" ca="1" si="12"/>
        <v>5.5188541920784678E-2</v>
      </c>
      <c r="I165">
        <f t="shared" ca="1" si="12"/>
        <v>5.5216127535406084E-2</v>
      </c>
      <c r="J165">
        <f t="shared" ca="1" si="12"/>
        <v>5.5247357959160116E-2</v>
      </c>
      <c r="K165">
        <f t="shared" ca="1" si="12"/>
        <v>5.5288208033858831E-2</v>
      </c>
      <c r="L165">
        <f t="shared" ca="1" si="12"/>
        <v>5.550741936012818E-2</v>
      </c>
      <c r="M165">
        <f t="shared" ca="1" si="12"/>
        <v>5.5555959526969907E-2</v>
      </c>
      <c r="N165">
        <f t="shared" ca="1" si="12"/>
        <v>5.5396446597478534E-2</v>
      </c>
    </row>
    <row r="166" spans="4:14" x14ac:dyDescent="0.2">
      <c r="D166">
        <v>164</v>
      </c>
      <c r="E166">
        <f t="shared" ca="1" si="12"/>
        <v>5.5170040644232483E-2</v>
      </c>
      <c r="F166">
        <f t="shared" ca="1" si="12"/>
        <v>5.5274031658821859E-2</v>
      </c>
      <c r="G166">
        <f t="shared" ca="1" si="12"/>
        <v>5.5447067655512883E-2</v>
      </c>
      <c r="H166">
        <f t="shared" ca="1" si="12"/>
        <v>5.5206841415646073E-2</v>
      </c>
      <c r="I166">
        <f t="shared" ca="1" si="12"/>
        <v>5.5224653622623111E-2</v>
      </c>
      <c r="J166">
        <f t="shared" ca="1" si="12"/>
        <v>5.5239046104440755E-2</v>
      </c>
      <c r="K166">
        <f t="shared" ca="1" si="12"/>
        <v>5.5276932685691095E-2</v>
      </c>
      <c r="L166">
        <f t="shared" ca="1" si="12"/>
        <v>5.5528324990149994E-2</v>
      </c>
      <c r="M166">
        <f t="shared" ca="1" si="12"/>
        <v>5.555109417795031E-2</v>
      </c>
      <c r="N166">
        <f t="shared" ca="1" si="12"/>
        <v>5.5406850690166098E-2</v>
      </c>
    </row>
    <row r="167" spans="4:14" x14ac:dyDescent="0.2">
      <c r="D167">
        <v>165</v>
      </c>
      <c r="E167">
        <f t="shared" ca="1" si="12"/>
        <v>5.5154252808081346E-2</v>
      </c>
      <c r="F167">
        <f t="shared" ca="1" si="12"/>
        <v>5.5284141405229054E-2</v>
      </c>
      <c r="G167">
        <f t="shared" ca="1" si="12"/>
        <v>5.5435491917922797E-2</v>
      </c>
      <c r="H167">
        <f t="shared" ca="1" si="12"/>
        <v>5.5225374764559743E-2</v>
      </c>
      <c r="I167">
        <f t="shared" ca="1" si="12"/>
        <v>5.5226754435908312E-2</v>
      </c>
      <c r="J167">
        <f t="shared" ca="1" si="12"/>
        <v>5.5243960285820896E-2</v>
      </c>
      <c r="K167">
        <f t="shared" ca="1" si="12"/>
        <v>5.5298198658387913E-2</v>
      </c>
      <c r="L167">
        <f t="shared" ca="1" si="12"/>
        <v>5.5526094154836073E-2</v>
      </c>
      <c r="M167">
        <f t="shared" ca="1" si="12"/>
        <v>5.5541446850426453E-2</v>
      </c>
      <c r="N167">
        <f t="shared" ca="1" si="12"/>
        <v>5.5416815880558468E-2</v>
      </c>
    </row>
    <row r="168" spans="4:14" x14ac:dyDescent="0.2">
      <c r="D168">
        <v>166</v>
      </c>
      <c r="E168">
        <f t="shared" ca="1" si="12"/>
        <v>5.5168990252544112E-2</v>
      </c>
      <c r="F168">
        <f t="shared" ca="1" si="12"/>
        <v>5.5286011037867407E-2</v>
      </c>
      <c r="G168">
        <f t="shared" ca="1" si="12"/>
        <v>5.5431776659920183E-2</v>
      </c>
      <c r="H168">
        <f t="shared" ca="1" si="12"/>
        <v>5.5197785787444872E-2</v>
      </c>
      <c r="I168">
        <f t="shared" ca="1" si="12"/>
        <v>5.5242818262117348E-2</v>
      </c>
      <c r="J168">
        <f t="shared" ca="1" si="12"/>
        <v>5.5261544977119006E-2</v>
      </c>
      <c r="K168">
        <f t="shared" ca="1" si="12"/>
        <v>5.5294791177675606E-2</v>
      </c>
      <c r="L168">
        <f t="shared" ca="1" si="12"/>
        <v>5.554011308825537E-2</v>
      </c>
      <c r="M168">
        <f t="shared" ca="1" si="12"/>
        <v>5.5535176068495888E-2</v>
      </c>
      <c r="N168">
        <f t="shared" ca="1" si="12"/>
        <v>5.5425372814416431E-2</v>
      </c>
    </row>
    <row r="169" spans="4:14" x14ac:dyDescent="0.2">
      <c r="D169">
        <v>167</v>
      </c>
      <c r="E169">
        <f t="shared" ca="1" si="12"/>
        <v>5.5176392753143219E-2</v>
      </c>
      <c r="F169">
        <f t="shared" ca="1" si="12"/>
        <v>5.5303055684937541E-2</v>
      </c>
      <c r="G169">
        <f t="shared" ca="1" si="12"/>
        <v>5.5454558150726939E-2</v>
      </c>
      <c r="H169">
        <f t="shared" ca="1" si="12"/>
        <v>5.5181176885292137E-2</v>
      </c>
      <c r="I169">
        <f t="shared" ca="1" si="12"/>
        <v>5.5247641655808588E-2</v>
      </c>
      <c r="J169">
        <f t="shared" ca="1" si="12"/>
        <v>5.5276174456814875E-2</v>
      </c>
      <c r="K169">
        <f t="shared" ca="1" si="12"/>
        <v>5.5294843972440499E-2</v>
      </c>
      <c r="L169">
        <f t="shared" ca="1" si="12"/>
        <v>5.5532258460981289E-2</v>
      </c>
      <c r="M169">
        <f t="shared" ca="1" si="12"/>
        <v>5.555902640135852E-2</v>
      </c>
      <c r="N169">
        <f t="shared" ca="1" si="12"/>
        <v>5.542754810316778E-2</v>
      </c>
    </row>
    <row r="170" spans="4:14" x14ac:dyDescent="0.2">
      <c r="D170">
        <v>168</v>
      </c>
      <c r="E170">
        <f t="shared" ca="1" si="12"/>
        <v>5.5172370979560653E-2</v>
      </c>
      <c r="F170">
        <f t="shared" ca="1" si="12"/>
        <v>5.5276367385287642E-2</v>
      </c>
      <c r="G170">
        <f t="shared" ca="1" si="12"/>
        <v>5.5432620078902387E-2</v>
      </c>
      <c r="H170">
        <f t="shared" ca="1" si="12"/>
        <v>5.5177060701566492E-2</v>
      </c>
      <c r="I170">
        <f t="shared" ca="1" si="12"/>
        <v>5.5240245224249765E-2</v>
      </c>
      <c r="J170">
        <f t="shared" ca="1" si="12"/>
        <v>5.5297031448285648E-2</v>
      </c>
      <c r="K170">
        <f t="shared" ca="1" si="12"/>
        <v>5.530741196277339E-2</v>
      </c>
      <c r="L170">
        <f t="shared" ca="1" si="12"/>
        <v>5.5530402672922849E-2</v>
      </c>
      <c r="M170">
        <f t="shared" ca="1" si="12"/>
        <v>5.557290233911389E-2</v>
      </c>
      <c r="N170">
        <f t="shared" ca="1" si="12"/>
        <v>5.5430337986772625E-2</v>
      </c>
    </row>
    <row r="171" spans="4:14" x14ac:dyDescent="0.2">
      <c r="D171">
        <v>169</v>
      </c>
      <c r="E171">
        <f t="shared" ca="1" si="12"/>
        <v>5.5165215705915975E-2</v>
      </c>
      <c r="F171">
        <f t="shared" ca="1" si="12"/>
        <v>5.527209008529186E-2</v>
      </c>
      <c r="G171">
        <f t="shared" ca="1" si="12"/>
        <v>5.5444624220706389E-2</v>
      </c>
      <c r="H171">
        <f t="shared" ca="1" si="12"/>
        <v>5.5173463195658384E-2</v>
      </c>
      <c r="I171">
        <f t="shared" ca="1" si="12"/>
        <v>5.5236991476722182E-2</v>
      </c>
      <c r="J171">
        <f t="shared" ca="1" si="12"/>
        <v>5.5305623624571712E-2</v>
      </c>
      <c r="K171">
        <f t="shared" ca="1" si="12"/>
        <v>5.5302662377224164E-2</v>
      </c>
      <c r="L171">
        <f t="shared" ca="1" si="12"/>
        <v>5.5538171568959883E-2</v>
      </c>
      <c r="M171">
        <f t="shared" ca="1" si="12"/>
        <v>5.5573138782857613E-2</v>
      </c>
      <c r="N171">
        <f t="shared" ca="1" si="12"/>
        <v>5.5426343137641991E-2</v>
      </c>
    </row>
    <row r="172" spans="4:14" x14ac:dyDescent="0.2">
      <c r="D172">
        <v>170</v>
      </c>
      <c r="E172">
        <f t="shared" ca="1" si="12"/>
        <v>5.5162766165274706E-2</v>
      </c>
      <c r="F172">
        <f t="shared" ca="1" si="12"/>
        <v>5.5269765219441803E-2</v>
      </c>
      <c r="G172">
        <f t="shared" ca="1" si="12"/>
        <v>5.5449986385341835E-2</v>
      </c>
      <c r="H172">
        <f t="shared" ca="1" si="12"/>
        <v>5.5168077759460733E-2</v>
      </c>
      <c r="I172">
        <f t="shared" ca="1" si="12"/>
        <v>5.5249838414026628E-2</v>
      </c>
      <c r="J172">
        <f t="shared" ca="1" si="12"/>
        <v>5.5311490029446554E-2</v>
      </c>
      <c r="K172">
        <f t="shared" ca="1" si="12"/>
        <v>5.5304578393045901E-2</v>
      </c>
      <c r="L172">
        <f t="shared" ca="1" si="12"/>
        <v>5.5540013475147337E-2</v>
      </c>
      <c r="M172">
        <f t="shared" ca="1" si="12"/>
        <v>5.5573508017275744E-2</v>
      </c>
      <c r="N172">
        <f t="shared" ca="1" si="12"/>
        <v>5.5428879342045295E-2</v>
      </c>
    </row>
    <row r="173" spans="4:14" x14ac:dyDescent="0.2">
      <c r="D173">
        <v>171</v>
      </c>
      <c r="E173">
        <f t="shared" ca="1" si="12"/>
        <v>5.5142583267898171E-2</v>
      </c>
      <c r="F173">
        <f t="shared" ca="1" si="12"/>
        <v>5.5275107657794108E-2</v>
      </c>
      <c r="G173">
        <f t="shared" ca="1" si="12"/>
        <v>5.5442890384291017E-2</v>
      </c>
      <c r="H173">
        <f t="shared" ca="1" si="12"/>
        <v>5.5166679644604491E-2</v>
      </c>
      <c r="I173">
        <f t="shared" ca="1" si="12"/>
        <v>5.5242903552082931E-2</v>
      </c>
      <c r="J173">
        <f t="shared" ca="1" si="12"/>
        <v>5.5326297977981879E-2</v>
      </c>
      <c r="K173">
        <f t="shared" ca="1" si="12"/>
        <v>5.5304323225058002E-2</v>
      </c>
      <c r="L173">
        <f t="shared" ca="1" si="12"/>
        <v>5.5528164479782927E-2</v>
      </c>
      <c r="M173">
        <f t="shared" ca="1" si="12"/>
        <v>5.556711172290351E-2</v>
      </c>
      <c r="N173">
        <f t="shared" ca="1" si="12"/>
        <v>5.5438385669789834E-2</v>
      </c>
    </row>
    <row r="174" spans="4:14" x14ac:dyDescent="0.2">
      <c r="D174">
        <v>172</v>
      </c>
      <c r="E174">
        <f t="shared" ca="1" si="12"/>
        <v>5.5139908600649164E-2</v>
      </c>
      <c r="F174">
        <f t="shared" ca="1" si="12"/>
        <v>5.5289052145107348E-2</v>
      </c>
      <c r="G174">
        <f t="shared" ca="1" si="12"/>
        <v>5.5455737098464068E-2</v>
      </c>
      <c r="H174">
        <f t="shared" ca="1" si="12"/>
        <v>5.5177756835557056E-2</v>
      </c>
      <c r="I174">
        <f t="shared" ca="1" si="12"/>
        <v>5.5233026490334278E-2</v>
      </c>
      <c r="J174">
        <f t="shared" ca="1" si="12"/>
        <v>5.5324783041899687E-2</v>
      </c>
      <c r="K174">
        <f t="shared" ca="1" si="12"/>
        <v>5.5324199327653048E-2</v>
      </c>
      <c r="L174">
        <f t="shared" ca="1" si="12"/>
        <v>5.5510413560420684E-2</v>
      </c>
      <c r="M174">
        <f t="shared" ca="1" si="12"/>
        <v>5.5573916981704163E-2</v>
      </c>
      <c r="N174">
        <f t="shared" ca="1" si="12"/>
        <v>5.544688520728077E-2</v>
      </c>
    </row>
    <row r="175" spans="4:14" x14ac:dyDescent="0.2">
      <c r="D175">
        <v>173</v>
      </c>
      <c r="E175">
        <f t="shared" ca="1" si="12"/>
        <v>5.5147122499423204E-2</v>
      </c>
      <c r="F175">
        <f t="shared" ca="1" si="12"/>
        <v>5.5277215614873351E-2</v>
      </c>
      <c r="G175">
        <f t="shared" ca="1" si="12"/>
        <v>5.5467320784137131E-2</v>
      </c>
      <c r="H175">
        <f t="shared" ca="1" si="12"/>
        <v>5.5164459689981737E-2</v>
      </c>
      <c r="I175">
        <f t="shared" ca="1" si="12"/>
        <v>5.5261638788751719E-2</v>
      </c>
      <c r="J175">
        <f t="shared" ca="1" si="12"/>
        <v>5.5346245184299266E-2</v>
      </c>
      <c r="K175">
        <f t="shared" ca="1" si="12"/>
        <v>5.5317177997576711E-2</v>
      </c>
      <c r="L175">
        <f t="shared" ca="1" si="12"/>
        <v>5.5517214387504399E-2</v>
      </c>
      <c r="M175">
        <f t="shared" ca="1" si="12"/>
        <v>5.5589525672402065E-2</v>
      </c>
      <c r="N175">
        <f t="shared" ca="1" si="12"/>
        <v>5.5449869233593761E-2</v>
      </c>
    </row>
    <row r="176" spans="4:14" x14ac:dyDescent="0.2">
      <c r="D176">
        <v>174</v>
      </c>
      <c r="E176">
        <f t="shared" ca="1" si="12"/>
        <v>5.5140729006507759E-2</v>
      </c>
      <c r="F176">
        <f t="shared" ca="1" si="12"/>
        <v>5.5278647947527487E-2</v>
      </c>
      <c r="G176">
        <f t="shared" ca="1" si="12"/>
        <v>5.5458929623509276E-2</v>
      </c>
      <c r="H176">
        <f t="shared" ca="1" si="12"/>
        <v>5.5161818801813478E-2</v>
      </c>
      <c r="I176">
        <f t="shared" ca="1" si="12"/>
        <v>5.5247595856675963E-2</v>
      </c>
      <c r="J176">
        <f t="shared" ca="1" si="12"/>
        <v>5.5341605842677673E-2</v>
      </c>
      <c r="K176">
        <f t="shared" ca="1" si="12"/>
        <v>5.5313103645297609E-2</v>
      </c>
      <c r="L176">
        <f t="shared" ca="1" si="12"/>
        <v>5.5512979415914293E-2</v>
      </c>
      <c r="M176">
        <f t="shared" ca="1" si="12"/>
        <v>5.5588563738003492E-2</v>
      </c>
      <c r="N176">
        <f t="shared" ca="1" si="12"/>
        <v>5.5451163214685108E-2</v>
      </c>
    </row>
    <row r="177" spans="4:14" x14ac:dyDescent="0.2">
      <c r="D177">
        <v>175</v>
      </c>
      <c r="E177">
        <f t="shared" ca="1" si="12"/>
        <v>5.5120251665672297E-2</v>
      </c>
      <c r="F177">
        <f t="shared" ca="1" si="12"/>
        <v>5.5281419522559133E-2</v>
      </c>
      <c r="G177">
        <f t="shared" ca="1" si="12"/>
        <v>5.544185436208348E-2</v>
      </c>
      <c r="H177">
        <f t="shared" ca="1" si="12"/>
        <v>5.5162616136781931E-2</v>
      </c>
      <c r="I177">
        <f t="shared" ca="1" si="12"/>
        <v>5.5230322055082756E-2</v>
      </c>
      <c r="J177">
        <f t="shared" ca="1" si="12"/>
        <v>5.535330800772751E-2</v>
      </c>
      <c r="K177">
        <f t="shared" ca="1" si="12"/>
        <v>5.531059647047492E-2</v>
      </c>
      <c r="L177">
        <f t="shared" ca="1" si="12"/>
        <v>5.5504972093920309E-2</v>
      </c>
      <c r="M177">
        <f t="shared" ca="1" si="12"/>
        <v>5.5599440217714013E-2</v>
      </c>
      <c r="N177">
        <f t="shared" ca="1" si="12"/>
        <v>5.5449793654028398E-2</v>
      </c>
    </row>
    <row r="178" spans="4:14" x14ac:dyDescent="0.2">
      <c r="D178">
        <v>176</v>
      </c>
      <c r="E178">
        <f t="shared" ca="1" si="12"/>
        <v>5.5130978556344669E-2</v>
      </c>
      <c r="F178">
        <f t="shared" ca="1" si="12"/>
        <v>5.5310511868722746E-2</v>
      </c>
      <c r="G178">
        <f t="shared" ca="1" si="12"/>
        <v>5.5456464345555095E-2</v>
      </c>
      <c r="H178">
        <f t="shared" ca="1" si="12"/>
        <v>5.5170381687215775E-2</v>
      </c>
      <c r="I178">
        <f t="shared" ca="1" si="12"/>
        <v>5.5240447763669945E-2</v>
      </c>
      <c r="J178">
        <f t="shared" ca="1" si="12"/>
        <v>5.5348428156701074E-2</v>
      </c>
      <c r="K178">
        <f t="shared" ca="1" si="12"/>
        <v>5.5315220230763761E-2</v>
      </c>
      <c r="L178">
        <f t="shared" ca="1" si="12"/>
        <v>5.552880603882502E-2</v>
      </c>
      <c r="M178">
        <f t="shared" ca="1" si="12"/>
        <v>5.5601814632943287E-2</v>
      </c>
      <c r="N178">
        <f t="shared" ca="1" si="12"/>
        <v>5.5456545855743049E-2</v>
      </c>
    </row>
    <row r="179" spans="4:14" x14ac:dyDescent="0.2">
      <c r="D179">
        <v>177</v>
      </c>
      <c r="E179">
        <f t="shared" ca="1" si="12"/>
        <v>5.5131597863372593E-2</v>
      </c>
      <c r="F179">
        <f t="shared" ca="1" si="12"/>
        <v>5.5303205924747738E-2</v>
      </c>
      <c r="G179">
        <f t="shared" ca="1" si="12"/>
        <v>5.5464756230922549E-2</v>
      </c>
      <c r="H179">
        <f t="shared" ca="1" si="12"/>
        <v>5.5187408767399269E-2</v>
      </c>
      <c r="I179">
        <f t="shared" ca="1" si="12"/>
        <v>5.5238969506631E-2</v>
      </c>
      <c r="J179">
        <f t="shared" ca="1" si="12"/>
        <v>5.5320911831036573E-2</v>
      </c>
      <c r="K179">
        <f t="shared" ca="1" si="12"/>
        <v>5.5323384577797681E-2</v>
      </c>
      <c r="L179">
        <f t="shared" ca="1" si="12"/>
        <v>5.553124735904192E-2</v>
      </c>
      <c r="M179">
        <f t="shared" ca="1" si="12"/>
        <v>5.5631373716922304E-2</v>
      </c>
      <c r="N179">
        <f t="shared" ca="1" si="12"/>
        <v>5.5463259925931818E-2</v>
      </c>
    </row>
    <row r="180" spans="4:14" x14ac:dyDescent="0.2">
      <c r="D180">
        <v>178</v>
      </c>
      <c r="E180">
        <f t="shared" ref="E180:N195" ca="1" si="13">$B$1*($B$2-E179)*$B$6+$B$3*SQRT($B$6)*_xlfn.NORM.S.INV(RAND())+E179</f>
        <v>5.5146001081527563E-2</v>
      </c>
      <c r="F180">
        <f t="shared" ca="1" si="13"/>
        <v>5.5321246212091453E-2</v>
      </c>
      <c r="G180">
        <f t="shared" ca="1" si="13"/>
        <v>5.5488312310598996E-2</v>
      </c>
      <c r="H180">
        <f t="shared" ca="1" si="13"/>
        <v>5.5199124597766623E-2</v>
      </c>
      <c r="I180">
        <f t="shared" ca="1" si="13"/>
        <v>5.5244489682181618E-2</v>
      </c>
      <c r="J180">
        <f t="shared" ca="1" si="13"/>
        <v>5.5319789943045553E-2</v>
      </c>
      <c r="K180">
        <f t="shared" ca="1" si="13"/>
        <v>5.533408548641805E-2</v>
      </c>
      <c r="L180">
        <f t="shared" ca="1" si="13"/>
        <v>5.5525163077318002E-2</v>
      </c>
      <c r="M180">
        <f t="shared" ca="1" si="13"/>
        <v>5.563736695088322E-2</v>
      </c>
      <c r="N180">
        <f t="shared" ca="1" si="13"/>
        <v>5.5477974237352665E-2</v>
      </c>
    </row>
    <row r="181" spans="4:14" x14ac:dyDescent="0.2">
      <c r="D181">
        <v>179</v>
      </c>
      <c r="E181">
        <f t="shared" ca="1" si="13"/>
        <v>5.5144237534276108E-2</v>
      </c>
      <c r="F181">
        <f t="shared" ca="1" si="13"/>
        <v>5.5314686331928459E-2</v>
      </c>
      <c r="G181">
        <f t="shared" ca="1" si="13"/>
        <v>5.54780432844783E-2</v>
      </c>
      <c r="H181">
        <f t="shared" ca="1" si="13"/>
        <v>5.5201600153073065E-2</v>
      </c>
      <c r="I181">
        <f t="shared" ca="1" si="13"/>
        <v>5.5255968044356903E-2</v>
      </c>
      <c r="J181">
        <f t="shared" ca="1" si="13"/>
        <v>5.5305463756459228E-2</v>
      </c>
      <c r="K181">
        <f t="shared" ca="1" si="13"/>
        <v>5.5343628343553115E-2</v>
      </c>
      <c r="L181">
        <f t="shared" ca="1" si="13"/>
        <v>5.5511789817205767E-2</v>
      </c>
      <c r="M181">
        <f t="shared" ca="1" si="13"/>
        <v>5.5629245345276364E-2</v>
      </c>
      <c r="N181">
        <f t="shared" ca="1" si="13"/>
        <v>5.5484767605073766E-2</v>
      </c>
    </row>
    <row r="182" spans="4:14" x14ac:dyDescent="0.2">
      <c r="D182">
        <v>180</v>
      </c>
      <c r="E182">
        <f t="shared" ca="1" si="13"/>
        <v>5.5149391561892941E-2</v>
      </c>
      <c r="F182">
        <f t="shared" ca="1" si="13"/>
        <v>5.5302121422780022E-2</v>
      </c>
      <c r="G182">
        <f t="shared" ca="1" si="13"/>
        <v>5.5464557397917454E-2</v>
      </c>
      <c r="H182">
        <f t="shared" ca="1" si="13"/>
        <v>5.5193009795447306E-2</v>
      </c>
      <c r="I182">
        <f t="shared" ca="1" si="13"/>
        <v>5.5254180432876318E-2</v>
      </c>
      <c r="J182">
        <f t="shared" ca="1" si="13"/>
        <v>5.5308614399353459E-2</v>
      </c>
      <c r="K182">
        <f t="shared" ca="1" si="13"/>
        <v>5.5327513706426447E-2</v>
      </c>
      <c r="L182">
        <f t="shared" ca="1" si="13"/>
        <v>5.5521508364872005E-2</v>
      </c>
      <c r="M182">
        <f t="shared" ca="1" si="13"/>
        <v>5.5626753116092921E-2</v>
      </c>
      <c r="N182">
        <f t="shared" ca="1" si="13"/>
        <v>5.5486343247341197E-2</v>
      </c>
    </row>
    <row r="183" spans="4:14" x14ac:dyDescent="0.2">
      <c r="D183">
        <v>181</v>
      </c>
      <c r="E183">
        <f t="shared" ca="1" si="13"/>
        <v>5.5151155546314327E-2</v>
      </c>
      <c r="F183">
        <f t="shared" ca="1" si="13"/>
        <v>5.529843999918007E-2</v>
      </c>
      <c r="G183">
        <f t="shared" ca="1" si="13"/>
        <v>5.5447083562714237E-2</v>
      </c>
      <c r="H183">
        <f t="shared" ca="1" si="13"/>
        <v>5.5200370485437515E-2</v>
      </c>
      <c r="I183">
        <f t="shared" ca="1" si="13"/>
        <v>5.5233411313231992E-2</v>
      </c>
      <c r="J183">
        <f t="shared" ca="1" si="13"/>
        <v>5.5307172476232416E-2</v>
      </c>
      <c r="K183">
        <f t="shared" ca="1" si="13"/>
        <v>5.5322851211835757E-2</v>
      </c>
      <c r="L183">
        <f t="shared" ca="1" si="13"/>
        <v>5.5508867538296973E-2</v>
      </c>
      <c r="M183">
        <f t="shared" ca="1" si="13"/>
        <v>5.5627125945716012E-2</v>
      </c>
      <c r="N183">
        <f t="shared" ca="1" si="13"/>
        <v>5.5471467897986626E-2</v>
      </c>
    </row>
    <row r="184" spans="4:14" x14ac:dyDescent="0.2">
      <c r="D184">
        <v>182</v>
      </c>
      <c r="E184">
        <f t="shared" ca="1" si="13"/>
        <v>5.5146057039210647E-2</v>
      </c>
      <c r="F184">
        <f t="shared" ca="1" si="13"/>
        <v>5.5290579445750727E-2</v>
      </c>
      <c r="G184">
        <f t="shared" ca="1" si="13"/>
        <v>5.5442380912609814E-2</v>
      </c>
      <c r="H184">
        <f t="shared" ca="1" si="13"/>
        <v>5.5192610710725364E-2</v>
      </c>
      <c r="I184">
        <f t="shared" ca="1" si="13"/>
        <v>5.5236479625677792E-2</v>
      </c>
      <c r="J184">
        <f t="shared" ca="1" si="13"/>
        <v>5.5313896117097056E-2</v>
      </c>
      <c r="K184">
        <f t="shared" ca="1" si="13"/>
        <v>5.5326000153987781E-2</v>
      </c>
      <c r="L184">
        <f t="shared" ca="1" si="13"/>
        <v>5.55128492175695E-2</v>
      </c>
      <c r="M184">
        <f t="shared" ca="1" si="13"/>
        <v>5.5650008118396342E-2</v>
      </c>
      <c r="N184">
        <f t="shared" ca="1" si="13"/>
        <v>5.5456021575344808E-2</v>
      </c>
    </row>
    <row r="185" spans="4:14" x14ac:dyDescent="0.2">
      <c r="D185">
        <v>183</v>
      </c>
      <c r="E185">
        <f t="shared" ca="1" si="13"/>
        <v>5.514405779610753E-2</v>
      </c>
      <c r="F185">
        <f t="shared" ca="1" si="13"/>
        <v>5.5291158039103769E-2</v>
      </c>
      <c r="G185">
        <f t="shared" ca="1" si="13"/>
        <v>5.5441918386747981E-2</v>
      </c>
      <c r="H185">
        <f t="shared" ca="1" si="13"/>
        <v>5.5206006248779221E-2</v>
      </c>
      <c r="I185">
        <f t="shared" ca="1" si="13"/>
        <v>5.5233010930097318E-2</v>
      </c>
      <c r="J185">
        <f t="shared" ca="1" si="13"/>
        <v>5.530574421299099E-2</v>
      </c>
      <c r="K185">
        <f t="shared" ca="1" si="13"/>
        <v>5.5328270357830535E-2</v>
      </c>
      <c r="L185">
        <f t="shared" ca="1" si="13"/>
        <v>5.5504965291336902E-2</v>
      </c>
      <c r="M185">
        <f t="shared" ca="1" si="13"/>
        <v>5.5638681350366009E-2</v>
      </c>
      <c r="N185">
        <f t="shared" ca="1" si="13"/>
        <v>5.5452431044197989E-2</v>
      </c>
    </row>
    <row r="186" spans="4:14" x14ac:dyDescent="0.2">
      <c r="D186">
        <v>184</v>
      </c>
      <c r="E186">
        <f t="shared" ca="1" si="13"/>
        <v>5.5133718048928526E-2</v>
      </c>
      <c r="F186">
        <f t="shared" ca="1" si="13"/>
        <v>5.5284032061896832E-2</v>
      </c>
      <c r="G186">
        <f t="shared" ca="1" si="13"/>
        <v>5.5417088060390404E-2</v>
      </c>
      <c r="H186">
        <f t="shared" ca="1" si="13"/>
        <v>5.5205761176094485E-2</v>
      </c>
      <c r="I186">
        <f t="shared" ca="1" si="13"/>
        <v>5.5232754477636946E-2</v>
      </c>
      <c r="J186">
        <f t="shared" ca="1" si="13"/>
        <v>5.5297169486710707E-2</v>
      </c>
      <c r="K186">
        <f t="shared" ca="1" si="13"/>
        <v>5.535013476157695E-2</v>
      </c>
      <c r="L186">
        <f t="shared" ca="1" si="13"/>
        <v>5.5488224882764677E-2</v>
      </c>
      <c r="M186">
        <f t="shared" ca="1" si="13"/>
        <v>5.5635190074763897E-2</v>
      </c>
      <c r="N186">
        <f t="shared" ca="1" si="13"/>
        <v>5.5449492319933721E-2</v>
      </c>
    </row>
    <row r="187" spans="4:14" x14ac:dyDescent="0.2">
      <c r="D187">
        <v>185</v>
      </c>
      <c r="E187">
        <f t="shared" ca="1" si="13"/>
        <v>5.5142857813570367E-2</v>
      </c>
      <c r="F187">
        <f t="shared" ca="1" si="13"/>
        <v>5.5295667743495987E-2</v>
      </c>
      <c r="G187">
        <f t="shared" ca="1" si="13"/>
        <v>5.5409943111060157E-2</v>
      </c>
      <c r="H187">
        <f t="shared" ca="1" si="13"/>
        <v>5.5183583692496548E-2</v>
      </c>
      <c r="I187">
        <f t="shared" ca="1" si="13"/>
        <v>5.5225700586406232E-2</v>
      </c>
      <c r="J187">
        <f t="shared" ca="1" si="13"/>
        <v>5.5304443716960999E-2</v>
      </c>
      <c r="K187">
        <f t="shared" ca="1" si="13"/>
        <v>5.5359053283352888E-2</v>
      </c>
      <c r="L187">
        <f t="shared" ca="1" si="13"/>
        <v>5.5478356941097463E-2</v>
      </c>
      <c r="M187">
        <f t="shared" ca="1" si="13"/>
        <v>5.5637244861717776E-2</v>
      </c>
      <c r="N187">
        <f t="shared" ca="1" si="13"/>
        <v>5.5443055983624916E-2</v>
      </c>
    </row>
    <row r="188" spans="4:14" x14ac:dyDescent="0.2">
      <c r="D188">
        <v>186</v>
      </c>
      <c r="E188">
        <f t="shared" ca="1" si="13"/>
        <v>5.5116804418044181E-2</v>
      </c>
      <c r="F188">
        <f t="shared" ca="1" si="13"/>
        <v>5.5278447822548531E-2</v>
      </c>
      <c r="G188">
        <f t="shared" ca="1" si="13"/>
        <v>5.5410808400298647E-2</v>
      </c>
      <c r="H188">
        <f t="shared" ca="1" si="13"/>
        <v>5.5204168155537491E-2</v>
      </c>
      <c r="I188">
        <f t="shared" ca="1" si="13"/>
        <v>5.5215770574407012E-2</v>
      </c>
      <c r="J188">
        <f t="shared" ca="1" si="13"/>
        <v>5.5308103566201409E-2</v>
      </c>
      <c r="K188">
        <f t="shared" ca="1" si="13"/>
        <v>5.5363940420840245E-2</v>
      </c>
      <c r="L188">
        <f t="shared" ca="1" si="13"/>
        <v>5.5480619072812792E-2</v>
      </c>
      <c r="M188">
        <f t="shared" ca="1" si="13"/>
        <v>5.5634735475004388E-2</v>
      </c>
      <c r="N188">
        <f t="shared" ca="1" si="13"/>
        <v>5.5457631303475835E-2</v>
      </c>
    </row>
    <row r="189" spans="4:14" x14ac:dyDescent="0.2">
      <c r="D189">
        <v>187</v>
      </c>
      <c r="E189">
        <f t="shared" ca="1" si="13"/>
        <v>5.5130324937820795E-2</v>
      </c>
      <c r="F189">
        <f t="shared" ca="1" si="13"/>
        <v>5.5278675446934565E-2</v>
      </c>
      <c r="G189">
        <f t="shared" ca="1" si="13"/>
        <v>5.5409010660201527E-2</v>
      </c>
      <c r="H189">
        <f t="shared" ca="1" si="13"/>
        <v>5.5204219301588781E-2</v>
      </c>
      <c r="I189">
        <f t="shared" ca="1" si="13"/>
        <v>5.5198546770844979E-2</v>
      </c>
      <c r="J189">
        <f t="shared" ca="1" si="13"/>
        <v>5.5317124325109129E-2</v>
      </c>
      <c r="K189">
        <f t="shared" ca="1" si="13"/>
        <v>5.5343141795237645E-2</v>
      </c>
      <c r="L189">
        <f t="shared" ca="1" si="13"/>
        <v>5.5476668390980484E-2</v>
      </c>
      <c r="M189">
        <f t="shared" ca="1" si="13"/>
        <v>5.5616871087510796E-2</v>
      </c>
      <c r="N189">
        <f t="shared" ca="1" si="13"/>
        <v>5.546618281777535E-2</v>
      </c>
    </row>
    <row r="190" spans="4:14" x14ac:dyDescent="0.2">
      <c r="D190">
        <v>188</v>
      </c>
      <c r="E190">
        <f t="shared" ca="1" si="13"/>
        <v>5.5120421102826868E-2</v>
      </c>
      <c r="F190">
        <f t="shared" ca="1" si="13"/>
        <v>5.5262576710388187E-2</v>
      </c>
      <c r="G190">
        <f t="shared" ca="1" si="13"/>
        <v>5.5420209278628271E-2</v>
      </c>
      <c r="H190">
        <f t="shared" ca="1" si="13"/>
        <v>5.5199702840891859E-2</v>
      </c>
      <c r="I190">
        <f t="shared" ca="1" si="13"/>
        <v>5.5208836938156848E-2</v>
      </c>
      <c r="J190">
        <f t="shared" ca="1" si="13"/>
        <v>5.532455239361888E-2</v>
      </c>
      <c r="K190">
        <f t="shared" ca="1" si="13"/>
        <v>5.5343692346300002E-2</v>
      </c>
      <c r="L190">
        <f t="shared" ca="1" si="13"/>
        <v>5.5482890658663207E-2</v>
      </c>
      <c r="M190">
        <f t="shared" ca="1" si="13"/>
        <v>5.5633193757745607E-2</v>
      </c>
      <c r="N190">
        <f t="shared" ca="1" si="13"/>
        <v>5.5465453122380055E-2</v>
      </c>
    </row>
    <row r="191" spans="4:14" x14ac:dyDescent="0.2">
      <c r="D191">
        <v>189</v>
      </c>
      <c r="E191">
        <f t="shared" ca="1" si="13"/>
        <v>5.512011679360531E-2</v>
      </c>
      <c r="F191">
        <f t="shared" ca="1" si="13"/>
        <v>5.5264318785873311E-2</v>
      </c>
      <c r="G191">
        <f t="shared" ca="1" si="13"/>
        <v>5.5431080682947644E-2</v>
      </c>
      <c r="H191">
        <f t="shared" ca="1" si="13"/>
        <v>5.520451269774003E-2</v>
      </c>
      <c r="I191">
        <f t="shared" ca="1" si="13"/>
        <v>5.5194617628558977E-2</v>
      </c>
      <c r="J191">
        <f t="shared" ca="1" si="13"/>
        <v>5.5331614606609097E-2</v>
      </c>
      <c r="K191">
        <f t="shared" ca="1" si="13"/>
        <v>5.5354096521550225E-2</v>
      </c>
      <c r="L191">
        <f t="shared" ca="1" si="13"/>
        <v>5.5485225373738595E-2</v>
      </c>
      <c r="M191">
        <f t="shared" ca="1" si="13"/>
        <v>5.5643952606210557E-2</v>
      </c>
      <c r="N191">
        <f t="shared" ca="1" si="13"/>
        <v>5.5451233657278561E-2</v>
      </c>
    </row>
    <row r="192" spans="4:14" x14ac:dyDescent="0.2">
      <c r="D192">
        <v>190</v>
      </c>
      <c r="E192">
        <f t="shared" ca="1" si="13"/>
        <v>5.5113053585499221E-2</v>
      </c>
      <c r="F192">
        <f t="shared" ca="1" si="13"/>
        <v>5.5262791562983728E-2</v>
      </c>
      <c r="G192">
        <f t="shared" ca="1" si="13"/>
        <v>5.541912936733575E-2</v>
      </c>
      <c r="H192">
        <f t="shared" ca="1" si="13"/>
        <v>5.5231924906614258E-2</v>
      </c>
      <c r="I192">
        <f t="shared" ca="1" si="13"/>
        <v>5.5213438833643096E-2</v>
      </c>
      <c r="J192">
        <f t="shared" ca="1" si="13"/>
        <v>5.5347888393043325E-2</v>
      </c>
      <c r="K192">
        <f t="shared" ca="1" si="13"/>
        <v>5.5359680927395287E-2</v>
      </c>
      <c r="L192">
        <f t="shared" ca="1" si="13"/>
        <v>5.5487178326084199E-2</v>
      </c>
      <c r="M192">
        <f t="shared" ca="1" si="13"/>
        <v>5.566053276255107E-2</v>
      </c>
      <c r="N192">
        <f t="shared" ca="1" si="13"/>
        <v>5.5455363304647613E-2</v>
      </c>
    </row>
    <row r="193" spans="4:14" x14ac:dyDescent="0.2">
      <c r="D193">
        <v>191</v>
      </c>
      <c r="E193">
        <f t="shared" ca="1" si="13"/>
        <v>5.5122876923585036E-2</v>
      </c>
      <c r="F193">
        <f t="shared" ca="1" si="13"/>
        <v>5.5287407705204024E-2</v>
      </c>
      <c r="G193">
        <f t="shared" ca="1" si="13"/>
        <v>5.5425021686060609E-2</v>
      </c>
      <c r="H193">
        <f t="shared" ca="1" si="13"/>
        <v>5.5236564415625494E-2</v>
      </c>
      <c r="I193">
        <f t="shared" ca="1" si="13"/>
        <v>5.5229740049126029E-2</v>
      </c>
      <c r="J193">
        <f t="shared" ca="1" si="13"/>
        <v>5.534870384259942E-2</v>
      </c>
      <c r="K193">
        <f t="shared" ca="1" si="13"/>
        <v>5.5357669046612996E-2</v>
      </c>
      <c r="L193">
        <f t="shared" ca="1" si="13"/>
        <v>5.5488217551615392E-2</v>
      </c>
      <c r="M193">
        <f t="shared" ca="1" si="13"/>
        <v>5.5652832646642579E-2</v>
      </c>
      <c r="N193">
        <f t="shared" ca="1" si="13"/>
        <v>5.546044284824516E-2</v>
      </c>
    </row>
    <row r="194" spans="4:14" x14ac:dyDescent="0.2">
      <c r="D194">
        <v>192</v>
      </c>
      <c r="E194">
        <f t="shared" ca="1" si="13"/>
        <v>5.5129882370710773E-2</v>
      </c>
      <c r="F194">
        <f t="shared" ca="1" si="13"/>
        <v>5.5290871414626519E-2</v>
      </c>
      <c r="G194">
        <f t="shared" ca="1" si="13"/>
        <v>5.5426096933130997E-2</v>
      </c>
      <c r="H194">
        <f t="shared" ca="1" si="13"/>
        <v>5.5223427006899202E-2</v>
      </c>
      <c r="I194">
        <f t="shared" ca="1" si="13"/>
        <v>5.5233519342015341E-2</v>
      </c>
      <c r="J194">
        <f t="shared" ca="1" si="13"/>
        <v>5.5348298124179969E-2</v>
      </c>
      <c r="K194">
        <f t="shared" ca="1" si="13"/>
        <v>5.5367097583928424E-2</v>
      </c>
      <c r="L194">
        <f t="shared" ca="1" si="13"/>
        <v>5.5492830495420122E-2</v>
      </c>
      <c r="M194">
        <f t="shared" ca="1" si="13"/>
        <v>5.5660433818898611E-2</v>
      </c>
      <c r="N194">
        <f t="shared" ca="1" si="13"/>
        <v>5.5465755335751828E-2</v>
      </c>
    </row>
    <row r="195" spans="4:14" x14ac:dyDescent="0.2">
      <c r="D195">
        <v>193</v>
      </c>
      <c r="E195">
        <f t="shared" ca="1" si="13"/>
        <v>5.515190125078645E-2</v>
      </c>
      <c r="F195">
        <f t="shared" ca="1" si="13"/>
        <v>5.5288590818216472E-2</v>
      </c>
      <c r="G195">
        <f t="shared" ca="1" si="13"/>
        <v>5.5431421597348943E-2</v>
      </c>
      <c r="H195">
        <f t="shared" ca="1" si="13"/>
        <v>5.5254307424487933E-2</v>
      </c>
      <c r="I195">
        <f t="shared" ca="1" si="13"/>
        <v>5.5232438780967959E-2</v>
      </c>
      <c r="J195">
        <f t="shared" ca="1" si="13"/>
        <v>5.5359020618631953E-2</v>
      </c>
      <c r="K195">
        <f t="shared" ca="1" si="13"/>
        <v>5.5363366859895555E-2</v>
      </c>
      <c r="L195">
        <f t="shared" ca="1" si="13"/>
        <v>5.5493720378818126E-2</v>
      </c>
      <c r="M195">
        <f t="shared" ca="1" si="13"/>
        <v>5.5688577776297182E-2</v>
      </c>
      <c r="N195">
        <f t="shared" ca="1" si="13"/>
        <v>5.5468121996619983E-2</v>
      </c>
    </row>
    <row r="196" spans="4:14" x14ac:dyDescent="0.2">
      <c r="D196">
        <v>194</v>
      </c>
      <c r="E196">
        <f t="shared" ref="E196:N211" ca="1" si="14">$B$1*($B$2-E195)*$B$6+$B$3*SQRT($B$6)*_xlfn.NORM.S.INV(RAND())+E195</f>
        <v>5.5132312244450747E-2</v>
      </c>
      <c r="F196">
        <f t="shared" ca="1" si="14"/>
        <v>5.5283343640340786E-2</v>
      </c>
      <c r="G196">
        <f t="shared" ca="1" si="14"/>
        <v>5.5425982748415585E-2</v>
      </c>
      <c r="H196">
        <f t="shared" ca="1" si="14"/>
        <v>5.5268628904031607E-2</v>
      </c>
      <c r="I196">
        <f t="shared" ca="1" si="14"/>
        <v>5.5235328797584096E-2</v>
      </c>
      <c r="J196">
        <f t="shared" ca="1" si="14"/>
        <v>5.5380312077686053E-2</v>
      </c>
      <c r="K196">
        <f t="shared" ca="1" si="14"/>
        <v>5.5386378823314181E-2</v>
      </c>
      <c r="L196">
        <f t="shared" ca="1" si="14"/>
        <v>5.5503841198827598E-2</v>
      </c>
      <c r="M196">
        <f t="shared" ca="1" si="14"/>
        <v>5.5682056189841761E-2</v>
      </c>
      <c r="N196">
        <f t="shared" ca="1" si="14"/>
        <v>5.5462746712762523E-2</v>
      </c>
    </row>
    <row r="197" spans="4:14" x14ac:dyDescent="0.2">
      <c r="D197">
        <v>195</v>
      </c>
      <c r="E197">
        <f t="shared" ca="1" si="14"/>
        <v>5.5121001784718626E-2</v>
      </c>
      <c r="F197">
        <f t="shared" ca="1" si="14"/>
        <v>5.5291093598027703E-2</v>
      </c>
      <c r="G197">
        <f t="shared" ca="1" si="14"/>
        <v>5.5429703847900934E-2</v>
      </c>
      <c r="H197">
        <f t="shared" ca="1" si="14"/>
        <v>5.5260450156567387E-2</v>
      </c>
      <c r="I197">
        <f t="shared" ca="1" si="14"/>
        <v>5.5220202697872145E-2</v>
      </c>
      <c r="J197">
        <f t="shared" ca="1" si="14"/>
        <v>5.5353294565229874E-2</v>
      </c>
      <c r="K197">
        <f t="shared" ca="1" si="14"/>
        <v>5.5389526078743111E-2</v>
      </c>
      <c r="L197">
        <f t="shared" ca="1" si="14"/>
        <v>5.550054506166837E-2</v>
      </c>
      <c r="M197">
        <f t="shared" ca="1" si="14"/>
        <v>5.5678538110713799E-2</v>
      </c>
      <c r="N197">
        <f t="shared" ca="1" si="14"/>
        <v>5.5479143516759533E-2</v>
      </c>
    </row>
    <row r="198" spans="4:14" x14ac:dyDescent="0.2">
      <c r="D198">
        <v>196</v>
      </c>
      <c r="E198">
        <f t="shared" ca="1" si="14"/>
        <v>5.5138797311988529E-2</v>
      </c>
      <c r="F198">
        <f t="shared" ca="1" si="14"/>
        <v>5.5299490821610404E-2</v>
      </c>
      <c r="G198">
        <f t="shared" ca="1" si="14"/>
        <v>5.5425776995096453E-2</v>
      </c>
      <c r="H198">
        <f t="shared" ca="1" si="14"/>
        <v>5.5265320667569472E-2</v>
      </c>
      <c r="I198">
        <f t="shared" ca="1" si="14"/>
        <v>5.521758411702906E-2</v>
      </c>
      <c r="J198">
        <f t="shared" ca="1" si="14"/>
        <v>5.5339570676249922E-2</v>
      </c>
      <c r="K198">
        <f t="shared" ca="1" si="14"/>
        <v>5.5372394081472057E-2</v>
      </c>
      <c r="L198">
        <f t="shared" ca="1" si="14"/>
        <v>5.549661882675163E-2</v>
      </c>
      <c r="M198">
        <f t="shared" ca="1" si="14"/>
        <v>5.5669786921474639E-2</v>
      </c>
      <c r="N198">
        <f t="shared" ca="1" si="14"/>
        <v>5.5485392994942061E-2</v>
      </c>
    </row>
    <row r="199" spans="4:14" x14ac:dyDescent="0.2">
      <c r="D199">
        <v>197</v>
      </c>
      <c r="E199">
        <f t="shared" ca="1" si="14"/>
        <v>5.5118361292723593E-2</v>
      </c>
      <c r="F199">
        <f t="shared" ca="1" si="14"/>
        <v>5.5280481961257351E-2</v>
      </c>
      <c r="G199">
        <f t="shared" ca="1" si="14"/>
        <v>5.5429302112210824E-2</v>
      </c>
      <c r="H199">
        <f t="shared" ca="1" si="14"/>
        <v>5.5251184494507333E-2</v>
      </c>
      <c r="I199">
        <f t="shared" ca="1" si="14"/>
        <v>5.5229056685861054E-2</v>
      </c>
      <c r="J199">
        <f t="shared" ca="1" si="14"/>
        <v>5.5322266917282863E-2</v>
      </c>
      <c r="K199">
        <f t="shared" ca="1" si="14"/>
        <v>5.5380436339365888E-2</v>
      </c>
      <c r="L199">
        <f t="shared" ca="1" si="14"/>
        <v>5.5468829842063881E-2</v>
      </c>
      <c r="M199">
        <f t="shared" ca="1" si="14"/>
        <v>5.5654632722345339E-2</v>
      </c>
      <c r="N199">
        <f t="shared" ca="1" si="14"/>
        <v>5.5501991480039654E-2</v>
      </c>
    </row>
    <row r="200" spans="4:14" x14ac:dyDescent="0.2">
      <c r="D200">
        <v>198</v>
      </c>
      <c r="E200">
        <f t="shared" ca="1" si="14"/>
        <v>5.5114843356564969E-2</v>
      </c>
      <c r="F200">
        <f t="shared" ca="1" si="14"/>
        <v>5.5290485697598271E-2</v>
      </c>
      <c r="G200">
        <f t="shared" ca="1" si="14"/>
        <v>5.5435899852487612E-2</v>
      </c>
      <c r="H200">
        <f t="shared" ca="1" si="14"/>
        <v>5.5249777941554563E-2</v>
      </c>
      <c r="I200">
        <f t="shared" ca="1" si="14"/>
        <v>5.5243928736406538E-2</v>
      </c>
      <c r="J200">
        <f t="shared" ca="1" si="14"/>
        <v>5.532503022659889E-2</v>
      </c>
      <c r="K200">
        <f t="shared" ca="1" si="14"/>
        <v>5.5369698811107232E-2</v>
      </c>
      <c r="L200">
        <f t="shared" ca="1" si="14"/>
        <v>5.5459194712385813E-2</v>
      </c>
      <c r="M200">
        <f t="shared" ca="1" si="14"/>
        <v>5.5674415017581406E-2</v>
      </c>
      <c r="N200">
        <f t="shared" ca="1" si="14"/>
        <v>5.5500574171764044E-2</v>
      </c>
    </row>
    <row r="201" spans="4:14" x14ac:dyDescent="0.2">
      <c r="D201">
        <v>199</v>
      </c>
      <c r="E201">
        <f t="shared" ca="1" si="14"/>
        <v>5.5123464662345377E-2</v>
      </c>
      <c r="F201">
        <f t="shared" ca="1" si="14"/>
        <v>5.5280652771143184E-2</v>
      </c>
      <c r="G201">
        <f t="shared" ca="1" si="14"/>
        <v>5.5420503702116132E-2</v>
      </c>
      <c r="H201">
        <f t="shared" ca="1" si="14"/>
        <v>5.524085834935797E-2</v>
      </c>
      <c r="I201">
        <f t="shared" ca="1" si="14"/>
        <v>5.5238768366267128E-2</v>
      </c>
      <c r="J201">
        <f t="shared" ca="1" si="14"/>
        <v>5.5345146320678801E-2</v>
      </c>
      <c r="K201">
        <f t="shared" ca="1" si="14"/>
        <v>5.5380655682901334E-2</v>
      </c>
      <c r="L201">
        <f t="shared" ca="1" si="14"/>
        <v>5.5476392664132491E-2</v>
      </c>
      <c r="M201">
        <f t="shared" ca="1" si="14"/>
        <v>5.5680410955570379E-2</v>
      </c>
      <c r="N201">
        <f t="shared" ca="1" si="14"/>
        <v>5.5508305368993767E-2</v>
      </c>
    </row>
    <row r="202" spans="4:14" x14ac:dyDescent="0.2">
      <c r="D202">
        <v>200</v>
      </c>
      <c r="E202">
        <f t="shared" ca="1" si="14"/>
        <v>5.5103187563318827E-2</v>
      </c>
      <c r="F202">
        <f t="shared" ca="1" si="14"/>
        <v>5.528782638212161E-2</v>
      </c>
      <c r="G202">
        <f t="shared" ca="1" si="14"/>
        <v>5.5430097363101768E-2</v>
      </c>
      <c r="H202">
        <f t="shared" ca="1" si="14"/>
        <v>5.524949154232784E-2</v>
      </c>
      <c r="I202">
        <f t="shared" ca="1" si="14"/>
        <v>5.5238151233481622E-2</v>
      </c>
      <c r="J202">
        <f t="shared" ca="1" si="14"/>
        <v>5.5350174998997775E-2</v>
      </c>
      <c r="K202">
        <f t="shared" ca="1" si="14"/>
        <v>5.5371753720093744E-2</v>
      </c>
      <c r="L202">
        <f t="shared" ca="1" si="14"/>
        <v>5.5473353323223167E-2</v>
      </c>
      <c r="M202">
        <f t="shared" ca="1" si="14"/>
        <v>5.5682793447159061E-2</v>
      </c>
      <c r="N202">
        <f t="shared" ca="1" si="14"/>
        <v>5.5502376544487864E-2</v>
      </c>
    </row>
    <row r="203" spans="4:14" x14ac:dyDescent="0.2">
      <c r="D203">
        <v>201</v>
      </c>
      <c r="E203">
        <f t="shared" ca="1" si="14"/>
        <v>5.5138985511110572E-2</v>
      </c>
      <c r="F203">
        <f t="shared" ca="1" si="14"/>
        <v>5.5287394524408368E-2</v>
      </c>
      <c r="G203">
        <f t="shared" ca="1" si="14"/>
        <v>5.5429351553552463E-2</v>
      </c>
      <c r="H203">
        <f t="shared" ca="1" si="14"/>
        <v>5.5246892752599086E-2</v>
      </c>
      <c r="I203">
        <f t="shared" ca="1" si="14"/>
        <v>5.5239058374605361E-2</v>
      </c>
      <c r="J203">
        <f t="shared" ca="1" si="14"/>
        <v>5.5350106539335364E-2</v>
      </c>
      <c r="K203">
        <f t="shared" ca="1" si="14"/>
        <v>5.5400588443215326E-2</v>
      </c>
      <c r="L203">
        <f t="shared" ca="1" si="14"/>
        <v>5.5484280941443101E-2</v>
      </c>
      <c r="M203">
        <f t="shared" ca="1" si="14"/>
        <v>5.5694566188338533E-2</v>
      </c>
      <c r="N203">
        <f t="shared" ca="1" si="14"/>
        <v>5.5500486935064416E-2</v>
      </c>
    </row>
    <row r="204" spans="4:14" x14ac:dyDescent="0.2">
      <c r="D204">
        <v>202</v>
      </c>
      <c r="E204">
        <f t="shared" ca="1" si="14"/>
        <v>5.5144945496190992E-2</v>
      </c>
      <c r="F204">
        <f t="shared" ca="1" si="14"/>
        <v>5.5292890205427651E-2</v>
      </c>
      <c r="G204">
        <f t="shared" ca="1" si="14"/>
        <v>5.5429506034957679E-2</v>
      </c>
      <c r="H204">
        <f t="shared" ca="1" si="14"/>
        <v>5.5257170200822464E-2</v>
      </c>
      <c r="I204">
        <f t="shared" ca="1" si="14"/>
        <v>5.5244671928479185E-2</v>
      </c>
      <c r="J204">
        <f t="shared" ca="1" si="14"/>
        <v>5.5361186824634534E-2</v>
      </c>
      <c r="K204">
        <f t="shared" ca="1" si="14"/>
        <v>5.5412454270890171E-2</v>
      </c>
      <c r="L204">
        <f t="shared" ca="1" si="14"/>
        <v>5.5494099012100548E-2</v>
      </c>
      <c r="M204">
        <f t="shared" ca="1" si="14"/>
        <v>5.5690561601511882E-2</v>
      </c>
      <c r="N204">
        <f t="shared" ca="1" si="14"/>
        <v>5.5477880584593624E-2</v>
      </c>
    </row>
    <row r="205" spans="4:14" x14ac:dyDescent="0.2">
      <c r="D205">
        <v>203</v>
      </c>
      <c r="E205">
        <f t="shared" ca="1" si="14"/>
        <v>5.5138505748540172E-2</v>
      </c>
      <c r="F205">
        <f t="shared" ca="1" si="14"/>
        <v>5.5283156565657347E-2</v>
      </c>
      <c r="G205">
        <f t="shared" ca="1" si="14"/>
        <v>5.5444091941856559E-2</v>
      </c>
      <c r="H205">
        <f t="shared" ca="1" si="14"/>
        <v>5.5259375123889003E-2</v>
      </c>
      <c r="I205">
        <f t="shared" ca="1" si="14"/>
        <v>5.5253792763770591E-2</v>
      </c>
      <c r="J205">
        <f t="shared" ca="1" si="14"/>
        <v>5.534675351137415E-2</v>
      </c>
      <c r="K205">
        <f t="shared" ca="1" si="14"/>
        <v>5.5402895608590713E-2</v>
      </c>
      <c r="L205">
        <f t="shared" ca="1" si="14"/>
        <v>5.5499132588191009E-2</v>
      </c>
      <c r="M205">
        <f t="shared" ca="1" si="14"/>
        <v>5.571484332848313E-2</v>
      </c>
      <c r="N205">
        <f t="shared" ca="1" si="14"/>
        <v>5.5463872234454432E-2</v>
      </c>
    </row>
    <row r="206" spans="4:14" x14ac:dyDescent="0.2">
      <c r="D206">
        <v>204</v>
      </c>
      <c r="E206">
        <f t="shared" ca="1" si="14"/>
        <v>5.5113371091256871E-2</v>
      </c>
      <c r="F206">
        <f t="shared" ca="1" si="14"/>
        <v>5.5299450266096443E-2</v>
      </c>
      <c r="G206">
        <f t="shared" ca="1" si="14"/>
        <v>5.543618323175635E-2</v>
      </c>
      <c r="H206">
        <f t="shared" ca="1" si="14"/>
        <v>5.5255707183545041E-2</v>
      </c>
      <c r="I206">
        <f t="shared" ca="1" si="14"/>
        <v>5.5243822288234413E-2</v>
      </c>
      <c r="J206">
        <f t="shared" ca="1" si="14"/>
        <v>5.5357720564491043E-2</v>
      </c>
      <c r="K206">
        <f t="shared" ca="1" si="14"/>
        <v>5.5391847777003352E-2</v>
      </c>
      <c r="L206">
        <f t="shared" ca="1" si="14"/>
        <v>5.5502933449609909E-2</v>
      </c>
      <c r="M206">
        <f t="shared" ca="1" si="14"/>
        <v>5.5712041455886666E-2</v>
      </c>
      <c r="N206">
        <f t="shared" ca="1" si="14"/>
        <v>5.546414482491397E-2</v>
      </c>
    </row>
    <row r="207" spans="4:14" x14ac:dyDescent="0.2">
      <c r="D207">
        <v>205</v>
      </c>
      <c r="E207">
        <f t="shared" ca="1" si="14"/>
        <v>5.510781605358564E-2</v>
      </c>
      <c r="F207">
        <f t="shared" ca="1" si="14"/>
        <v>5.5291392236944764E-2</v>
      </c>
      <c r="G207">
        <f t="shared" ca="1" si="14"/>
        <v>5.5432396547756911E-2</v>
      </c>
      <c r="H207">
        <f t="shared" ca="1" si="14"/>
        <v>5.5260413866210119E-2</v>
      </c>
      <c r="I207">
        <f t="shared" ca="1" si="14"/>
        <v>5.5238940422494276E-2</v>
      </c>
      <c r="J207">
        <f t="shared" ca="1" si="14"/>
        <v>5.5358829934738965E-2</v>
      </c>
      <c r="K207">
        <f t="shared" ca="1" si="14"/>
        <v>5.540418987603999E-2</v>
      </c>
      <c r="L207">
        <f t="shared" ca="1" si="14"/>
        <v>5.5497292408951293E-2</v>
      </c>
      <c r="M207">
        <f t="shared" ca="1" si="14"/>
        <v>5.5696458983818906E-2</v>
      </c>
      <c r="N207">
        <f t="shared" ca="1" si="14"/>
        <v>5.5449351454551495E-2</v>
      </c>
    </row>
    <row r="208" spans="4:14" x14ac:dyDescent="0.2">
      <c r="D208">
        <v>206</v>
      </c>
      <c r="E208">
        <f t="shared" ca="1" si="14"/>
        <v>5.5113077684556123E-2</v>
      </c>
      <c r="F208">
        <f t="shared" ca="1" si="14"/>
        <v>5.5293194203417668E-2</v>
      </c>
      <c r="G208">
        <f t="shared" ca="1" si="14"/>
        <v>5.5425636452889608E-2</v>
      </c>
      <c r="H208">
        <f t="shared" ca="1" si="14"/>
        <v>5.5267320911825062E-2</v>
      </c>
      <c r="I208">
        <f t="shared" ca="1" si="14"/>
        <v>5.5247875524170528E-2</v>
      </c>
      <c r="J208">
        <f t="shared" ca="1" si="14"/>
        <v>5.537664124208852E-2</v>
      </c>
      <c r="K208">
        <f t="shared" ca="1" si="14"/>
        <v>5.5403241274438374E-2</v>
      </c>
      <c r="L208">
        <f t="shared" ca="1" si="14"/>
        <v>5.5495267903257976E-2</v>
      </c>
      <c r="M208">
        <f t="shared" ca="1" si="14"/>
        <v>5.5689346943250846E-2</v>
      </c>
      <c r="N208">
        <f t="shared" ca="1" si="14"/>
        <v>5.544457693576222E-2</v>
      </c>
    </row>
    <row r="209" spans="4:14" x14ac:dyDescent="0.2">
      <c r="D209">
        <v>207</v>
      </c>
      <c r="E209">
        <f t="shared" ca="1" si="14"/>
        <v>5.5112406709557339E-2</v>
      </c>
      <c r="F209">
        <f t="shared" ca="1" si="14"/>
        <v>5.5287024948611166E-2</v>
      </c>
      <c r="G209">
        <f t="shared" ca="1" si="14"/>
        <v>5.5418895907452241E-2</v>
      </c>
      <c r="H209">
        <f t="shared" ca="1" si="14"/>
        <v>5.5265399545251344E-2</v>
      </c>
      <c r="I209">
        <f t="shared" ca="1" si="14"/>
        <v>5.5260414100237007E-2</v>
      </c>
      <c r="J209">
        <f t="shared" ca="1" si="14"/>
        <v>5.5381982981115206E-2</v>
      </c>
      <c r="K209">
        <f t="shared" ca="1" si="14"/>
        <v>5.5400485916269296E-2</v>
      </c>
      <c r="L209">
        <f t="shared" ca="1" si="14"/>
        <v>5.5476020089499471E-2</v>
      </c>
      <c r="M209">
        <f t="shared" ca="1" si="14"/>
        <v>5.5700843537722013E-2</v>
      </c>
      <c r="N209">
        <f t="shared" ca="1" si="14"/>
        <v>5.543137297060733E-2</v>
      </c>
    </row>
    <row r="210" spans="4:14" x14ac:dyDescent="0.2">
      <c r="D210">
        <v>208</v>
      </c>
      <c r="E210">
        <f t="shared" ca="1" si="14"/>
        <v>5.5122591943656728E-2</v>
      </c>
      <c r="F210">
        <f t="shared" ca="1" si="14"/>
        <v>5.5283294834312456E-2</v>
      </c>
      <c r="G210">
        <f t="shared" ca="1" si="14"/>
        <v>5.5419070249890644E-2</v>
      </c>
      <c r="H210">
        <f t="shared" ca="1" si="14"/>
        <v>5.5249379247032944E-2</v>
      </c>
      <c r="I210">
        <f t="shared" ca="1" si="14"/>
        <v>5.5256826234191682E-2</v>
      </c>
      <c r="J210">
        <f t="shared" ca="1" si="14"/>
        <v>5.5392963111011571E-2</v>
      </c>
      <c r="K210">
        <f t="shared" ca="1" si="14"/>
        <v>5.539133094867469E-2</v>
      </c>
      <c r="L210">
        <f t="shared" ca="1" si="14"/>
        <v>5.5464553801296536E-2</v>
      </c>
      <c r="M210">
        <f t="shared" ca="1" si="14"/>
        <v>5.5705197805880534E-2</v>
      </c>
      <c r="N210">
        <f t="shared" ca="1" si="14"/>
        <v>5.5425614551834146E-2</v>
      </c>
    </row>
    <row r="211" spans="4:14" x14ac:dyDescent="0.2">
      <c r="D211">
        <v>209</v>
      </c>
      <c r="E211">
        <f t="shared" ca="1" si="14"/>
        <v>5.5114115873229445E-2</v>
      </c>
      <c r="F211">
        <f t="shared" ca="1" si="14"/>
        <v>5.5301362816048916E-2</v>
      </c>
      <c r="G211">
        <f t="shared" ca="1" si="14"/>
        <v>5.5409962811461974E-2</v>
      </c>
      <c r="H211">
        <f t="shared" ca="1" si="14"/>
        <v>5.5254880198384877E-2</v>
      </c>
      <c r="I211">
        <f t="shared" ca="1" si="14"/>
        <v>5.5263385627833742E-2</v>
      </c>
      <c r="J211">
        <f t="shared" ca="1" si="14"/>
        <v>5.5388520416584479E-2</v>
      </c>
      <c r="K211">
        <f t="shared" ca="1" si="14"/>
        <v>5.5396884263689564E-2</v>
      </c>
      <c r="L211">
        <f t="shared" ca="1" si="14"/>
        <v>5.5456421309417935E-2</v>
      </c>
      <c r="M211">
        <f t="shared" ca="1" si="14"/>
        <v>5.5725956353301666E-2</v>
      </c>
      <c r="N211">
        <f t="shared" ca="1" si="14"/>
        <v>5.5447135877284365E-2</v>
      </c>
    </row>
    <row r="212" spans="4:14" x14ac:dyDescent="0.2">
      <c r="D212">
        <v>210</v>
      </c>
      <c r="E212">
        <f t="shared" ref="E212:N227" ca="1" si="15">$B$1*($B$2-E211)*$B$6+$B$3*SQRT($B$6)*_xlfn.NORM.S.INV(RAND())+E211</f>
        <v>5.5124779579762986E-2</v>
      </c>
      <c r="F212">
        <f t="shared" ca="1" si="15"/>
        <v>5.5273697657586975E-2</v>
      </c>
      <c r="G212">
        <f t="shared" ca="1" si="15"/>
        <v>5.542389163376666E-2</v>
      </c>
      <c r="H212">
        <f t="shared" ca="1" si="15"/>
        <v>5.5275992347987905E-2</v>
      </c>
      <c r="I212">
        <f t="shared" ca="1" si="15"/>
        <v>5.5271438216886494E-2</v>
      </c>
      <c r="J212">
        <f t="shared" ca="1" si="15"/>
        <v>5.5375814086273123E-2</v>
      </c>
      <c r="K212">
        <f t="shared" ca="1" si="15"/>
        <v>5.5405558383524914E-2</v>
      </c>
      <c r="L212">
        <f t="shared" ca="1" si="15"/>
        <v>5.5448842935982255E-2</v>
      </c>
      <c r="M212">
        <f t="shared" ca="1" si="15"/>
        <v>5.5712251413183346E-2</v>
      </c>
      <c r="N212">
        <f t="shared" ca="1" si="15"/>
        <v>5.5437794982794206E-2</v>
      </c>
    </row>
    <row r="213" spans="4:14" x14ac:dyDescent="0.2">
      <c r="D213">
        <v>211</v>
      </c>
      <c r="E213">
        <f t="shared" ca="1" si="15"/>
        <v>5.5127234512456366E-2</v>
      </c>
      <c r="F213">
        <f t="shared" ca="1" si="15"/>
        <v>5.527522900569045E-2</v>
      </c>
      <c r="G213">
        <f t="shared" ca="1" si="15"/>
        <v>5.5427085203935446E-2</v>
      </c>
      <c r="H213">
        <f t="shared" ca="1" si="15"/>
        <v>5.528204625783395E-2</v>
      </c>
      <c r="I213">
        <f t="shared" ca="1" si="15"/>
        <v>5.5262492532171803E-2</v>
      </c>
      <c r="J213">
        <f t="shared" ca="1" si="15"/>
        <v>5.538097449876761E-2</v>
      </c>
      <c r="K213">
        <f t="shared" ca="1" si="15"/>
        <v>5.5410082922476518E-2</v>
      </c>
      <c r="L213">
        <f t="shared" ca="1" si="15"/>
        <v>5.5457540623297781E-2</v>
      </c>
      <c r="M213">
        <f t="shared" ca="1" si="15"/>
        <v>5.5706715463596297E-2</v>
      </c>
      <c r="N213">
        <f t="shared" ca="1" si="15"/>
        <v>5.5437449563934219E-2</v>
      </c>
    </row>
    <row r="214" spans="4:14" x14ac:dyDescent="0.2">
      <c r="D214">
        <v>212</v>
      </c>
      <c r="E214">
        <f t="shared" ca="1" si="15"/>
        <v>5.5125298783456449E-2</v>
      </c>
      <c r="F214">
        <f t="shared" ca="1" si="15"/>
        <v>5.5286032221939077E-2</v>
      </c>
      <c r="G214">
        <f t="shared" ca="1" si="15"/>
        <v>5.5421952669739351E-2</v>
      </c>
      <c r="H214">
        <f t="shared" ca="1" si="15"/>
        <v>5.5270245524794044E-2</v>
      </c>
      <c r="I214">
        <f t="shared" ca="1" si="15"/>
        <v>5.5259938511064685E-2</v>
      </c>
      <c r="J214">
        <f t="shared" ca="1" si="15"/>
        <v>5.5368133456956369E-2</v>
      </c>
      <c r="K214">
        <f t="shared" ca="1" si="15"/>
        <v>5.5416872013219723E-2</v>
      </c>
      <c r="L214">
        <f t="shared" ca="1" si="15"/>
        <v>5.546131568712314E-2</v>
      </c>
      <c r="M214">
        <f t="shared" ca="1" si="15"/>
        <v>5.5693010430897673E-2</v>
      </c>
      <c r="N214">
        <f t="shared" ca="1" si="15"/>
        <v>5.5431036243408623E-2</v>
      </c>
    </row>
    <row r="215" spans="4:14" x14ac:dyDescent="0.2">
      <c r="D215">
        <v>213</v>
      </c>
      <c r="E215">
        <f t="shared" ca="1" si="15"/>
        <v>5.5130271855661037E-2</v>
      </c>
      <c r="F215">
        <f t="shared" ca="1" si="15"/>
        <v>5.5270600750121628E-2</v>
      </c>
      <c r="G215">
        <f t="shared" ca="1" si="15"/>
        <v>5.5412189047344525E-2</v>
      </c>
      <c r="H215">
        <f t="shared" ca="1" si="15"/>
        <v>5.5268068715172453E-2</v>
      </c>
      <c r="I215">
        <f t="shared" ca="1" si="15"/>
        <v>5.5239561726950805E-2</v>
      </c>
      <c r="J215">
        <f t="shared" ca="1" si="15"/>
        <v>5.5384122594607635E-2</v>
      </c>
      <c r="K215">
        <f t="shared" ca="1" si="15"/>
        <v>5.5394068071853347E-2</v>
      </c>
      <c r="L215">
        <f t="shared" ca="1" si="15"/>
        <v>5.5464862902494506E-2</v>
      </c>
      <c r="M215">
        <f t="shared" ca="1" si="15"/>
        <v>5.5676289618760033E-2</v>
      </c>
      <c r="N215">
        <f t="shared" ca="1" si="15"/>
        <v>5.5424402075807393E-2</v>
      </c>
    </row>
    <row r="216" spans="4:14" x14ac:dyDescent="0.2">
      <c r="D216">
        <v>214</v>
      </c>
      <c r="E216">
        <f t="shared" ca="1" si="15"/>
        <v>5.5137016791866271E-2</v>
      </c>
      <c r="F216">
        <f t="shared" ca="1" si="15"/>
        <v>5.525381660595019E-2</v>
      </c>
      <c r="G216">
        <f t="shared" ca="1" si="15"/>
        <v>5.540446922710885E-2</v>
      </c>
      <c r="H216">
        <f t="shared" ca="1" si="15"/>
        <v>5.5274371623943955E-2</v>
      </c>
      <c r="I216">
        <f t="shared" ca="1" si="15"/>
        <v>5.5240992626222861E-2</v>
      </c>
      <c r="J216">
        <f t="shared" ca="1" si="15"/>
        <v>5.5403626535312736E-2</v>
      </c>
      <c r="K216">
        <f t="shared" ca="1" si="15"/>
        <v>5.5390821755638073E-2</v>
      </c>
      <c r="L216">
        <f t="shared" ca="1" si="15"/>
        <v>5.5459765609920823E-2</v>
      </c>
      <c r="M216">
        <f t="shared" ca="1" si="15"/>
        <v>5.5677604895882735E-2</v>
      </c>
      <c r="N216">
        <f t="shared" ca="1" si="15"/>
        <v>5.5423587055623211E-2</v>
      </c>
    </row>
    <row r="217" spans="4:14" x14ac:dyDescent="0.2">
      <c r="D217">
        <v>215</v>
      </c>
      <c r="E217">
        <f t="shared" ca="1" si="15"/>
        <v>5.5142990572147256E-2</v>
      </c>
      <c r="F217">
        <f t="shared" ca="1" si="15"/>
        <v>5.5260890890103359E-2</v>
      </c>
      <c r="G217">
        <f t="shared" ca="1" si="15"/>
        <v>5.5379498353284748E-2</v>
      </c>
      <c r="H217">
        <f t="shared" ca="1" si="15"/>
        <v>5.5265074192615747E-2</v>
      </c>
      <c r="I217">
        <f t="shared" ca="1" si="15"/>
        <v>5.5238129230750034E-2</v>
      </c>
      <c r="J217">
        <f t="shared" ca="1" si="15"/>
        <v>5.5400324516570461E-2</v>
      </c>
      <c r="K217">
        <f t="shared" ca="1" si="15"/>
        <v>5.5378155115201652E-2</v>
      </c>
      <c r="L217">
        <f t="shared" ca="1" si="15"/>
        <v>5.5457159820877774E-2</v>
      </c>
      <c r="M217">
        <f t="shared" ca="1" si="15"/>
        <v>5.565390833823243E-2</v>
      </c>
      <c r="N217">
        <f t="shared" ca="1" si="15"/>
        <v>5.5422076812306084E-2</v>
      </c>
    </row>
    <row r="218" spans="4:14" x14ac:dyDescent="0.2">
      <c r="D218">
        <v>216</v>
      </c>
      <c r="E218">
        <f t="shared" ca="1" si="15"/>
        <v>5.5129834064833724E-2</v>
      </c>
      <c r="F218">
        <f t="shared" ca="1" si="15"/>
        <v>5.5271666239189339E-2</v>
      </c>
      <c r="G218">
        <f t="shared" ca="1" si="15"/>
        <v>5.5380569321869223E-2</v>
      </c>
      <c r="H218">
        <f t="shared" ca="1" si="15"/>
        <v>5.5267437524350767E-2</v>
      </c>
      <c r="I218">
        <f t="shared" ca="1" si="15"/>
        <v>5.5237632928593183E-2</v>
      </c>
      <c r="J218">
        <f t="shared" ca="1" si="15"/>
        <v>5.5396336893383941E-2</v>
      </c>
      <c r="K218">
        <f t="shared" ca="1" si="15"/>
        <v>5.538678375551917E-2</v>
      </c>
      <c r="L218">
        <f t="shared" ca="1" si="15"/>
        <v>5.5456276764957652E-2</v>
      </c>
      <c r="M218">
        <f t="shared" ca="1" si="15"/>
        <v>5.5651438492739069E-2</v>
      </c>
      <c r="N218">
        <f t="shared" ca="1" si="15"/>
        <v>5.5412751671219798E-2</v>
      </c>
    </row>
    <row r="219" spans="4:14" x14ac:dyDescent="0.2">
      <c r="D219">
        <v>217</v>
      </c>
      <c r="E219">
        <f t="shared" ca="1" si="15"/>
        <v>5.513331291186313E-2</v>
      </c>
      <c r="F219">
        <f t="shared" ca="1" si="15"/>
        <v>5.5277062272735912E-2</v>
      </c>
      <c r="G219">
        <f t="shared" ca="1" si="15"/>
        <v>5.5369093927800872E-2</v>
      </c>
      <c r="H219">
        <f t="shared" ca="1" si="15"/>
        <v>5.5260557146106434E-2</v>
      </c>
      <c r="I219">
        <f t="shared" ca="1" si="15"/>
        <v>5.5260558304815091E-2</v>
      </c>
      <c r="J219">
        <f t="shared" ca="1" si="15"/>
        <v>5.5399337729252339E-2</v>
      </c>
      <c r="K219">
        <f t="shared" ca="1" si="15"/>
        <v>5.538132909878473E-2</v>
      </c>
      <c r="L219">
        <f t="shared" ca="1" si="15"/>
        <v>5.5471815278176233E-2</v>
      </c>
      <c r="M219">
        <f t="shared" ca="1" si="15"/>
        <v>5.5647575735106716E-2</v>
      </c>
      <c r="N219">
        <f t="shared" ca="1" si="15"/>
        <v>5.5406608402461741E-2</v>
      </c>
    </row>
    <row r="220" spans="4:14" x14ac:dyDescent="0.2">
      <c r="D220">
        <v>218</v>
      </c>
      <c r="E220">
        <f t="shared" ca="1" si="15"/>
        <v>5.5134071823696965E-2</v>
      </c>
      <c r="F220">
        <f t="shared" ca="1" si="15"/>
        <v>5.5259449609077041E-2</v>
      </c>
      <c r="G220">
        <f t="shared" ca="1" si="15"/>
        <v>5.5387765977005982E-2</v>
      </c>
      <c r="H220">
        <f t="shared" ca="1" si="15"/>
        <v>5.5254460401488327E-2</v>
      </c>
      <c r="I220">
        <f t="shared" ca="1" si="15"/>
        <v>5.5266181815974209E-2</v>
      </c>
      <c r="J220">
        <f t="shared" ca="1" si="15"/>
        <v>5.5389455402099351E-2</v>
      </c>
      <c r="K220">
        <f t="shared" ca="1" si="15"/>
        <v>5.5384227348648077E-2</v>
      </c>
      <c r="L220">
        <f t="shared" ca="1" si="15"/>
        <v>5.5477562432635047E-2</v>
      </c>
      <c r="M220">
        <f t="shared" ca="1" si="15"/>
        <v>5.5650945074137384E-2</v>
      </c>
      <c r="N220">
        <f t="shared" ca="1" si="15"/>
        <v>5.5414301722458141E-2</v>
      </c>
    </row>
    <row r="221" spans="4:14" x14ac:dyDescent="0.2">
      <c r="D221">
        <v>219</v>
      </c>
      <c r="E221">
        <f t="shared" ca="1" si="15"/>
        <v>5.513741059941818E-2</v>
      </c>
      <c r="F221">
        <f t="shared" ca="1" si="15"/>
        <v>5.5258266666552175E-2</v>
      </c>
      <c r="G221">
        <f t="shared" ca="1" si="15"/>
        <v>5.5401085241376005E-2</v>
      </c>
      <c r="H221">
        <f t="shared" ca="1" si="15"/>
        <v>5.5247146427491345E-2</v>
      </c>
      <c r="I221">
        <f t="shared" ca="1" si="15"/>
        <v>5.5289866183188173E-2</v>
      </c>
      <c r="J221">
        <f t="shared" ca="1" si="15"/>
        <v>5.5391920123693747E-2</v>
      </c>
      <c r="K221">
        <f t="shared" ca="1" si="15"/>
        <v>5.5393184641095473E-2</v>
      </c>
      <c r="L221">
        <f t="shared" ca="1" si="15"/>
        <v>5.5471097199720557E-2</v>
      </c>
      <c r="M221">
        <f t="shared" ca="1" si="15"/>
        <v>5.5652302971361443E-2</v>
      </c>
      <c r="N221">
        <f t="shared" ca="1" si="15"/>
        <v>5.5422198275677903E-2</v>
      </c>
    </row>
    <row r="222" spans="4:14" x14ac:dyDescent="0.2">
      <c r="D222">
        <v>220</v>
      </c>
      <c r="E222">
        <f t="shared" ca="1" si="15"/>
        <v>5.5150373702092526E-2</v>
      </c>
      <c r="F222">
        <f t="shared" ca="1" si="15"/>
        <v>5.5255797141721706E-2</v>
      </c>
      <c r="G222">
        <f t="shared" ca="1" si="15"/>
        <v>5.5416571730237042E-2</v>
      </c>
      <c r="H222">
        <f t="shared" ca="1" si="15"/>
        <v>5.5246255797711898E-2</v>
      </c>
      <c r="I222">
        <f t="shared" ca="1" si="15"/>
        <v>5.5298616093177412E-2</v>
      </c>
      <c r="J222">
        <f t="shared" ca="1" si="15"/>
        <v>5.5427896909547837E-2</v>
      </c>
      <c r="K222">
        <f t="shared" ca="1" si="15"/>
        <v>5.5394345187549446E-2</v>
      </c>
      <c r="L222">
        <f t="shared" ca="1" si="15"/>
        <v>5.5485646130069122E-2</v>
      </c>
      <c r="M222">
        <f t="shared" ca="1" si="15"/>
        <v>5.5649581579988776E-2</v>
      </c>
      <c r="N222">
        <f t="shared" ca="1" si="15"/>
        <v>5.5414480277949242E-2</v>
      </c>
    </row>
    <row r="223" spans="4:14" x14ac:dyDescent="0.2">
      <c r="D223">
        <v>221</v>
      </c>
      <c r="E223">
        <f t="shared" ca="1" si="15"/>
        <v>5.5140993987606003E-2</v>
      </c>
      <c r="F223">
        <f t="shared" ca="1" si="15"/>
        <v>5.5247723713579416E-2</v>
      </c>
      <c r="G223">
        <f t="shared" ca="1" si="15"/>
        <v>5.5433139551364259E-2</v>
      </c>
      <c r="H223">
        <f t="shared" ca="1" si="15"/>
        <v>5.5234502539666282E-2</v>
      </c>
      <c r="I223">
        <f t="shared" ca="1" si="15"/>
        <v>5.5298060412260833E-2</v>
      </c>
      <c r="J223">
        <f t="shared" ca="1" si="15"/>
        <v>5.5443808787502484E-2</v>
      </c>
      <c r="K223">
        <f t="shared" ca="1" si="15"/>
        <v>5.5415454785445697E-2</v>
      </c>
      <c r="L223">
        <f t="shared" ca="1" si="15"/>
        <v>5.550936061279331E-2</v>
      </c>
      <c r="M223">
        <f t="shared" ca="1" si="15"/>
        <v>5.5656323440885516E-2</v>
      </c>
      <c r="N223">
        <f t="shared" ca="1" si="15"/>
        <v>5.5412731822510192E-2</v>
      </c>
    </row>
    <row r="224" spans="4:14" x14ac:dyDescent="0.2">
      <c r="D224">
        <v>222</v>
      </c>
      <c r="E224">
        <f t="shared" ca="1" si="15"/>
        <v>5.5147372387514944E-2</v>
      </c>
      <c r="F224">
        <f t="shared" ca="1" si="15"/>
        <v>5.5232779292953477E-2</v>
      </c>
      <c r="G224">
        <f t="shared" ca="1" si="15"/>
        <v>5.5411638217329778E-2</v>
      </c>
      <c r="H224">
        <f t="shared" ca="1" si="15"/>
        <v>5.5244063551122546E-2</v>
      </c>
      <c r="I224">
        <f t="shared" ca="1" si="15"/>
        <v>5.5322856159676997E-2</v>
      </c>
      <c r="J224">
        <f t="shared" ca="1" si="15"/>
        <v>5.5462511993942885E-2</v>
      </c>
      <c r="K224">
        <f t="shared" ca="1" si="15"/>
        <v>5.5429102758237286E-2</v>
      </c>
      <c r="L224">
        <f t="shared" ca="1" si="15"/>
        <v>5.5522378095065369E-2</v>
      </c>
      <c r="M224">
        <f t="shared" ca="1" si="15"/>
        <v>5.5636225510388562E-2</v>
      </c>
      <c r="N224">
        <f t="shared" ca="1" si="15"/>
        <v>5.541611953469288E-2</v>
      </c>
    </row>
    <row r="225" spans="4:14" x14ac:dyDescent="0.2">
      <c r="D225">
        <v>223</v>
      </c>
      <c r="E225">
        <f t="shared" ca="1" si="15"/>
        <v>5.5168682956047758E-2</v>
      </c>
      <c r="F225">
        <f t="shared" ca="1" si="15"/>
        <v>5.5231910776166945E-2</v>
      </c>
      <c r="G225">
        <f t="shared" ca="1" si="15"/>
        <v>5.5407033467599072E-2</v>
      </c>
      <c r="H225">
        <f t="shared" ca="1" si="15"/>
        <v>5.5258533855027853E-2</v>
      </c>
      <c r="I225">
        <f t="shared" ca="1" si="15"/>
        <v>5.5336399010461432E-2</v>
      </c>
      <c r="J225">
        <f t="shared" ca="1" si="15"/>
        <v>5.5468974525418324E-2</v>
      </c>
      <c r="K225">
        <f t="shared" ca="1" si="15"/>
        <v>5.5420943079263291E-2</v>
      </c>
      <c r="L225">
        <f t="shared" ca="1" si="15"/>
        <v>5.5523259275450987E-2</v>
      </c>
      <c r="M225">
        <f t="shared" ca="1" si="15"/>
        <v>5.5649103681436919E-2</v>
      </c>
      <c r="N225">
        <f t="shared" ca="1" si="15"/>
        <v>5.5432444747436124E-2</v>
      </c>
    </row>
    <row r="226" spans="4:14" x14ac:dyDescent="0.2">
      <c r="D226">
        <v>224</v>
      </c>
      <c r="E226">
        <f t="shared" ca="1" si="15"/>
        <v>5.5182894548546961E-2</v>
      </c>
      <c r="F226">
        <f t="shared" ca="1" si="15"/>
        <v>5.5242048775576577E-2</v>
      </c>
      <c r="G226">
        <f t="shared" ca="1" si="15"/>
        <v>5.5401601289358206E-2</v>
      </c>
      <c r="H226">
        <f t="shared" ca="1" si="15"/>
        <v>5.5257621098244482E-2</v>
      </c>
      <c r="I226">
        <f t="shared" ca="1" si="15"/>
        <v>5.5336991736710112E-2</v>
      </c>
      <c r="J226">
        <f t="shared" ca="1" si="15"/>
        <v>5.546224288935566E-2</v>
      </c>
      <c r="K226">
        <f t="shared" ca="1" si="15"/>
        <v>5.5427522531041613E-2</v>
      </c>
      <c r="L226">
        <f t="shared" ca="1" si="15"/>
        <v>5.5537999700627824E-2</v>
      </c>
      <c r="M226">
        <f t="shared" ca="1" si="15"/>
        <v>5.5658342691977933E-2</v>
      </c>
      <c r="N226">
        <f t="shared" ca="1" si="15"/>
        <v>5.5416910615240338E-2</v>
      </c>
    </row>
    <row r="227" spans="4:14" x14ac:dyDescent="0.2">
      <c r="D227">
        <v>225</v>
      </c>
      <c r="E227">
        <f t="shared" ca="1" si="15"/>
        <v>5.5192075470643531E-2</v>
      </c>
      <c r="F227">
        <f t="shared" ca="1" si="15"/>
        <v>5.5244901161760569E-2</v>
      </c>
      <c r="G227">
        <f t="shared" ca="1" si="15"/>
        <v>5.5404659338164089E-2</v>
      </c>
      <c r="H227">
        <f t="shared" ca="1" si="15"/>
        <v>5.5269333056930742E-2</v>
      </c>
      <c r="I227">
        <f t="shared" ca="1" si="15"/>
        <v>5.5326445744229763E-2</v>
      </c>
      <c r="J227">
        <f t="shared" ca="1" si="15"/>
        <v>5.5468689832565019E-2</v>
      </c>
      <c r="K227">
        <f t="shared" ca="1" si="15"/>
        <v>5.5413243701198552E-2</v>
      </c>
      <c r="L227">
        <f t="shared" ca="1" si="15"/>
        <v>5.5535228686950266E-2</v>
      </c>
      <c r="M227">
        <f t="shared" ca="1" si="15"/>
        <v>5.5670497001506725E-2</v>
      </c>
      <c r="N227">
        <f t="shared" ca="1" si="15"/>
        <v>5.5419582742126952E-2</v>
      </c>
    </row>
    <row r="228" spans="4:14" x14ac:dyDescent="0.2">
      <c r="D228">
        <v>226</v>
      </c>
      <c r="E228">
        <f t="shared" ref="E228:N243" ca="1" si="16">$B$1*($B$2-E227)*$B$6+$B$3*SQRT($B$6)*_xlfn.NORM.S.INV(RAND())+E227</f>
        <v>5.5185814072252447E-2</v>
      </c>
      <c r="F228">
        <f t="shared" ca="1" si="16"/>
        <v>5.52371804418645E-2</v>
      </c>
      <c r="G228">
        <f t="shared" ca="1" si="16"/>
        <v>5.5402435584612039E-2</v>
      </c>
      <c r="H228">
        <f t="shared" ca="1" si="16"/>
        <v>5.5240191313382987E-2</v>
      </c>
      <c r="I228">
        <f t="shared" ca="1" si="16"/>
        <v>5.5336759927151667E-2</v>
      </c>
      <c r="J228">
        <f t="shared" ca="1" si="16"/>
        <v>5.5482836455790788E-2</v>
      </c>
      <c r="K228">
        <f t="shared" ca="1" si="16"/>
        <v>5.5422169681494209E-2</v>
      </c>
      <c r="L228">
        <f t="shared" ca="1" si="16"/>
        <v>5.5537065743990942E-2</v>
      </c>
      <c r="M228">
        <f t="shared" ca="1" si="16"/>
        <v>5.5670681781107179E-2</v>
      </c>
      <c r="N228">
        <f t="shared" ca="1" si="16"/>
        <v>5.5417287192191085E-2</v>
      </c>
    </row>
    <row r="229" spans="4:14" x14ac:dyDescent="0.2">
      <c r="D229">
        <v>227</v>
      </c>
      <c r="E229">
        <f t="shared" ca="1" si="16"/>
        <v>5.5184740449605016E-2</v>
      </c>
      <c r="F229">
        <f t="shared" ca="1" si="16"/>
        <v>5.5234571818876865E-2</v>
      </c>
      <c r="G229">
        <f t="shared" ca="1" si="16"/>
        <v>5.5394266848634008E-2</v>
      </c>
      <c r="H229">
        <f t="shared" ca="1" si="16"/>
        <v>5.5251096295965439E-2</v>
      </c>
      <c r="I229">
        <f t="shared" ca="1" si="16"/>
        <v>5.5309734025296334E-2</v>
      </c>
      <c r="J229">
        <f t="shared" ca="1" si="16"/>
        <v>5.5499645665158935E-2</v>
      </c>
      <c r="K229">
        <f t="shared" ca="1" si="16"/>
        <v>5.5425444522698555E-2</v>
      </c>
      <c r="L229">
        <f t="shared" ca="1" si="16"/>
        <v>5.5548101933019733E-2</v>
      </c>
      <c r="M229">
        <f t="shared" ca="1" si="16"/>
        <v>5.5655337283106718E-2</v>
      </c>
      <c r="N229">
        <f t="shared" ca="1" si="16"/>
        <v>5.5421351910195912E-2</v>
      </c>
    </row>
    <row r="230" spans="4:14" x14ac:dyDescent="0.2">
      <c r="D230">
        <v>228</v>
      </c>
      <c r="E230">
        <f t="shared" ca="1" si="16"/>
        <v>5.5176802109499934E-2</v>
      </c>
      <c r="F230">
        <f t="shared" ca="1" si="16"/>
        <v>5.5215894082332996E-2</v>
      </c>
      <c r="G230">
        <f t="shared" ca="1" si="16"/>
        <v>5.5394448526736514E-2</v>
      </c>
      <c r="H230">
        <f t="shared" ca="1" si="16"/>
        <v>5.5274192872020032E-2</v>
      </c>
      <c r="I230">
        <f t="shared" ca="1" si="16"/>
        <v>5.5311327350131279E-2</v>
      </c>
      <c r="J230">
        <f t="shared" ca="1" si="16"/>
        <v>5.5518535067458893E-2</v>
      </c>
      <c r="K230">
        <f t="shared" ca="1" si="16"/>
        <v>5.5420070280833601E-2</v>
      </c>
      <c r="L230">
        <f t="shared" ca="1" si="16"/>
        <v>5.5555784587162239E-2</v>
      </c>
      <c r="M230">
        <f t="shared" ca="1" si="16"/>
        <v>5.5666177283635355E-2</v>
      </c>
      <c r="N230">
        <f t="shared" ca="1" si="16"/>
        <v>5.5420710227060146E-2</v>
      </c>
    </row>
    <row r="231" spans="4:14" x14ac:dyDescent="0.2">
      <c r="D231">
        <v>229</v>
      </c>
      <c r="E231">
        <f t="shared" ca="1" si="16"/>
        <v>5.5178793028772148E-2</v>
      </c>
      <c r="F231">
        <f t="shared" ca="1" si="16"/>
        <v>5.523051926680022E-2</v>
      </c>
      <c r="G231">
        <f t="shared" ca="1" si="16"/>
        <v>5.5367106278874173E-2</v>
      </c>
      <c r="H231">
        <f t="shared" ca="1" si="16"/>
        <v>5.5284570484525349E-2</v>
      </c>
      <c r="I231">
        <f t="shared" ca="1" si="16"/>
        <v>5.5316389049704789E-2</v>
      </c>
      <c r="J231">
        <f t="shared" ca="1" si="16"/>
        <v>5.5518567079470608E-2</v>
      </c>
      <c r="K231">
        <f t="shared" ca="1" si="16"/>
        <v>5.5404205445594747E-2</v>
      </c>
      <c r="L231">
        <f t="shared" ca="1" si="16"/>
        <v>5.556307223954933E-2</v>
      </c>
      <c r="M231">
        <f t="shared" ca="1" si="16"/>
        <v>5.5657591776806473E-2</v>
      </c>
      <c r="N231">
        <f t="shared" ca="1" si="16"/>
        <v>5.541426089053595E-2</v>
      </c>
    </row>
    <row r="232" spans="4:14" x14ac:dyDescent="0.2">
      <c r="D232">
        <v>230</v>
      </c>
      <c r="E232">
        <f t="shared" ca="1" si="16"/>
        <v>5.5186300771106866E-2</v>
      </c>
      <c r="F232">
        <f t="shared" ca="1" si="16"/>
        <v>5.5215204688160775E-2</v>
      </c>
      <c r="G232">
        <f t="shared" ca="1" si="16"/>
        <v>5.5370535530590424E-2</v>
      </c>
      <c r="H232">
        <f t="shared" ca="1" si="16"/>
        <v>5.5276172239155347E-2</v>
      </c>
      <c r="I232">
        <f t="shared" ca="1" si="16"/>
        <v>5.5319415956416887E-2</v>
      </c>
      <c r="J232">
        <f t="shared" ca="1" si="16"/>
        <v>5.5533859697758342E-2</v>
      </c>
      <c r="K232">
        <f t="shared" ca="1" si="16"/>
        <v>5.5398719994997347E-2</v>
      </c>
      <c r="L232">
        <f t="shared" ca="1" si="16"/>
        <v>5.5559442926953258E-2</v>
      </c>
      <c r="M232">
        <f t="shared" ca="1" si="16"/>
        <v>5.5670319279857203E-2</v>
      </c>
      <c r="N232">
        <f t="shared" ca="1" si="16"/>
        <v>5.5419014468155482E-2</v>
      </c>
    </row>
    <row r="233" spans="4:14" x14ac:dyDescent="0.2">
      <c r="D233">
        <v>231</v>
      </c>
      <c r="E233">
        <f t="shared" ca="1" si="16"/>
        <v>5.5197582112586262E-2</v>
      </c>
      <c r="F233">
        <f t="shared" ca="1" si="16"/>
        <v>5.5187589146446954E-2</v>
      </c>
      <c r="G233">
        <f t="shared" ca="1" si="16"/>
        <v>5.5374850375172292E-2</v>
      </c>
      <c r="H233">
        <f t="shared" ca="1" si="16"/>
        <v>5.5280570998377E-2</v>
      </c>
      <c r="I233">
        <f t="shared" ca="1" si="16"/>
        <v>5.5327562914157649E-2</v>
      </c>
      <c r="J233">
        <f t="shared" ca="1" si="16"/>
        <v>5.5537846640806798E-2</v>
      </c>
      <c r="K233">
        <f t="shared" ca="1" si="16"/>
        <v>5.5416285812169418E-2</v>
      </c>
      <c r="L233">
        <f t="shared" ca="1" si="16"/>
        <v>5.5569986409617335E-2</v>
      </c>
      <c r="M233">
        <f t="shared" ca="1" si="16"/>
        <v>5.5659262361107131E-2</v>
      </c>
      <c r="N233">
        <f t="shared" ca="1" si="16"/>
        <v>5.5429769150059795E-2</v>
      </c>
    </row>
    <row r="234" spans="4:14" x14ac:dyDescent="0.2">
      <c r="D234">
        <v>232</v>
      </c>
      <c r="E234">
        <f t="shared" ca="1" si="16"/>
        <v>5.5205556812071427E-2</v>
      </c>
      <c r="F234">
        <f t="shared" ca="1" si="16"/>
        <v>5.5200439314780705E-2</v>
      </c>
      <c r="G234">
        <f t="shared" ca="1" si="16"/>
        <v>5.5373381261627407E-2</v>
      </c>
      <c r="H234">
        <f t="shared" ca="1" si="16"/>
        <v>5.528319940517596E-2</v>
      </c>
      <c r="I234">
        <f t="shared" ca="1" si="16"/>
        <v>5.53156753414389E-2</v>
      </c>
      <c r="J234">
        <f t="shared" ca="1" si="16"/>
        <v>5.5542028886480826E-2</v>
      </c>
      <c r="K234">
        <f t="shared" ca="1" si="16"/>
        <v>5.5416991117745174E-2</v>
      </c>
      <c r="L234">
        <f t="shared" ca="1" si="16"/>
        <v>5.5571677444256756E-2</v>
      </c>
      <c r="M234">
        <f t="shared" ca="1" si="16"/>
        <v>5.5658939185417554E-2</v>
      </c>
      <c r="N234">
        <f t="shared" ca="1" si="16"/>
        <v>5.5449549793614217E-2</v>
      </c>
    </row>
    <row r="235" spans="4:14" x14ac:dyDescent="0.2">
      <c r="D235">
        <v>233</v>
      </c>
      <c r="E235">
        <f t="shared" ca="1" si="16"/>
        <v>5.518488533683704E-2</v>
      </c>
      <c r="F235">
        <f t="shared" ca="1" si="16"/>
        <v>5.5197020957121298E-2</v>
      </c>
      <c r="G235">
        <f t="shared" ca="1" si="16"/>
        <v>5.5362490720252955E-2</v>
      </c>
      <c r="H235">
        <f t="shared" ca="1" si="16"/>
        <v>5.5283999511063317E-2</v>
      </c>
      <c r="I235">
        <f t="shared" ca="1" si="16"/>
        <v>5.5317449268428825E-2</v>
      </c>
      <c r="J235">
        <f t="shared" ca="1" si="16"/>
        <v>5.5571322837844002E-2</v>
      </c>
      <c r="K235">
        <f t="shared" ca="1" si="16"/>
        <v>5.5412235508686139E-2</v>
      </c>
      <c r="L235">
        <f t="shared" ca="1" si="16"/>
        <v>5.5567105618144021E-2</v>
      </c>
      <c r="M235">
        <f t="shared" ca="1" si="16"/>
        <v>5.5671044044617105E-2</v>
      </c>
      <c r="N235">
        <f t="shared" ca="1" si="16"/>
        <v>5.5440438854675041E-2</v>
      </c>
    </row>
    <row r="236" spans="4:14" x14ac:dyDescent="0.2">
      <c r="D236">
        <v>234</v>
      </c>
      <c r="E236">
        <f t="shared" ca="1" si="16"/>
        <v>5.5192934637301412E-2</v>
      </c>
      <c r="F236">
        <f t="shared" ca="1" si="16"/>
        <v>5.5215680042059553E-2</v>
      </c>
      <c r="G236">
        <f t="shared" ca="1" si="16"/>
        <v>5.5356229304681294E-2</v>
      </c>
      <c r="H236">
        <f t="shared" ca="1" si="16"/>
        <v>5.5277902961381041E-2</v>
      </c>
      <c r="I236">
        <f t="shared" ca="1" si="16"/>
        <v>5.5300481253617993E-2</v>
      </c>
      <c r="J236">
        <f t="shared" ca="1" si="16"/>
        <v>5.5575561119511965E-2</v>
      </c>
      <c r="K236">
        <f t="shared" ca="1" si="16"/>
        <v>5.5404036501387775E-2</v>
      </c>
      <c r="L236">
        <f t="shared" ca="1" si="16"/>
        <v>5.5537155496326429E-2</v>
      </c>
      <c r="M236">
        <f t="shared" ca="1" si="16"/>
        <v>5.5677069432369136E-2</v>
      </c>
      <c r="N236">
        <f t="shared" ca="1" si="16"/>
        <v>5.5451851377479371E-2</v>
      </c>
    </row>
    <row r="237" spans="4:14" x14ac:dyDescent="0.2">
      <c r="D237">
        <v>235</v>
      </c>
      <c r="E237">
        <f t="shared" ca="1" si="16"/>
        <v>5.5193288297490498E-2</v>
      </c>
      <c r="F237">
        <f t="shared" ca="1" si="16"/>
        <v>5.5209576157213225E-2</v>
      </c>
      <c r="G237">
        <f t="shared" ca="1" si="16"/>
        <v>5.5334757615333019E-2</v>
      </c>
      <c r="H237">
        <f t="shared" ca="1" si="16"/>
        <v>5.5286438471064035E-2</v>
      </c>
      <c r="I237">
        <f t="shared" ca="1" si="16"/>
        <v>5.5317219557559194E-2</v>
      </c>
      <c r="J237">
        <f t="shared" ca="1" si="16"/>
        <v>5.5569566396253781E-2</v>
      </c>
      <c r="K237">
        <f t="shared" ca="1" si="16"/>
        <v>5.5391776789052119E-2</v>
      </c>
      <c r="L237">
        <f t="shared" ca="1" si="16"/>
        <v>5.554651242977509E-2</v>
      </c>
      <c r="M237">
        <f t="shared" ca="1" si="16"/>
        <v>5.5694624881120085E-2</v>
      </c>
      <c r="N237">
        <f t="shared" ca="1" si="16"/>
        <v>5.5455402488473311E-2</v>
      </c>
    </row>
    <row r="238" spans="4:14" x14ac:dyDescent="0.2">
      <c r="D238">
        <v>236</v>
      </c>
      <c r="E238">
        <f t="shared" ca="1" si="16"/>
        <v>5.5207653437992658E-2</v>
      </c>
      <c r="F238">
        <f t="shared" ca="1" si="16"/>
        <v>5.5228866124923698E-2</v>
      </c>
      <c r="G238">
        <f t="shared" ca="1" si="16"/>
        <v>5.5316272715361339E-2</v>
      </c>
      <c r="H238">
        <f t="shared" ca="1" si="16"/>
        <v>5.5267660143242969E-2</v>
      </c>
      <c r="I238">
        <f t="shared" ca="1" si="16"/>
        <v>5.531426371682676E-2</v>
      </c>
      <c r="J238">
        <f t="shared" ca="1" si="16"/>
        <v>5.5549136326843385E-2</v>
      </c>
      <c r="K238">
        <f t="shared" ca="1" si="16"/>
        <v>5.5391138619118242E-2</v>
      </c>
      <c r="L238">
        <f t="shared" ca="1" si="16"/>
        <v>5.5552546978383938E-2</v>
      </c>
      <c r="M238">
        <f t="shared" ca="1" si="16"/>
        <v>5.5677814806482859E-2</v>
      </c>
      <c r="N238">
        <f t="shared" ca="1" si="16"/>
        <v>5.545905823666205E-2</v>
      </c>
    </row>
    <row r="239" spans="4:14" x14ac:dyDescent="0.2">
      <c r="D239">
        <v>237</v>
      </c>
      <c r="E239">
        <f t="shared" ca="1" si="16"/>
        <v>5.5220890763818913E-2</v>
      </c>
      <c r="F239">
        <f t="shared" ca="1" si="16"/>
        <v>5.5229467088686909E-2</v>
      </c>
      <c r="G239">
        <f t="shared" ca="1" si="16"/>
        <v>5.5321595453835408E-2</v>
      </c>
      <c r="H239">
        <f t="shared" ca="1" si="16"/>
        <v>5.5280126654449459E-2</v>
      </c>
      <c r="I239">
        <f t="shared" ca="1" si="16"/>
        <v>5.533106388232812E-2</v>
      </c>
      <c r="J239">
        <f t="shared" ca="1" si="16"/>
        <v>5.5550338227600582E-2</v>
      </c>
      <c r="K239">
        <f t="shared" ca="1" si="16"/>
        <v>5.5402841819681872E-2</v>
      </c>
      <c r="L239">
        <f t="shared" ca="1" si="16"/>
        <v>5.5541861220319753E-2</v>
      </c>
      <c r="M239">
        <f t="shared" ca="1" si="16"/>
        <v>5.5685727640998078E-2</v>
      </c>
      <c r="N239">
        <f t="shared" ca="1" si="16"/>
        <v>5.5462776518662195E-2</v>
      </c>
    </row>
    <row r="240" spans="4:14" x14ac:dyDescent="0.2">
      <c r="D240">
        <v>238</v>
      </c>
      <c r="E240">
        <f t="shared" ca="1" si="16"/>
        <v>5.522237422153458E-2</v>
      </c>
      <c r="F240">
        <f t="shared" ca="1" si="16"/>
        <v>5.5227089244614586E-2</v>
      </c>
      <c r="G240">
        <f t="shared" ca="1" si="16"/>
        <v>5.5333883846671018E-2</v>
      </c>
      <c r="H240">
        <f t="shared" ca="1" si="16"/>
        <v>5.5288991033622538E-2</v>
      </c>
      <c r="I240">
        <f t="shared" ca="1" si="16"/>
        <v>5.5353741046551191E-2</v>
      </c>
      <c r="J240">
        <f t="shared" ca="1" si="16"/>
        <v>5.555371249146198E-2</v>
      </c>
      <c r="K240">
        <f t="shared" ca="1" si="16"/>
        <v>5.5404581172618809E-2</v>
      </c>
      <c r="L240">
        <f t="shared" ca="1" si="16"/>
        <v>5.5535604145186095E-2</v>
      </c>
      <c r="M240">
        <f t="shared" ca="1" si="16"/>
        <v>5.5708263832400726E-2</v>
      </c>
      <c r="N240">
        <f t="shared" ca="1" si="16"/>
        <v>5.5449295598969085E-2</v>
      </c>
    </row>
    <row r="241" spans="4:14" x14ac:dyDescent="0.2">
      <c r="D241">
        <v>239</v>
      </c>
      <c r="E241">
        <f t="shared" ca="1" si="16"/>
        <v>5.522134688667326E-2</v>
      </c>
      <c r="F241">
        <f t="shared" ca="1" si="16"/>
        <v>5.5225046461917282E-2</v>
      </c>
      <c r="G241">
        <f t="shared" ca="1" si="16"/>
        <v>5.5343987024423696E-2</v>
      </c>
      <c r="H241">
        <f t="shared" ca="1" si="16"/>
        <v>5.5285017762896856E-2</v>
      </c>
      <c r="I241">
        <f t="shared" ca="1" si="16"/>
        <v>5.535046072672898E-2</v>
      </c>
      <c r="J241">
        <f t="shared" ca="1" si="16"/>
        <v>5.5569131875331586E-2</v>
      </c>
      <c r="K241">
        <f t="shared" ca="1" si="16"/>
        <v>5.5403443169228392E-2</v>
      </c>
      <c r="L241">
        <f t="shared" ca="1" si="16"/>
        <v>5.5539102006682932E-2</v>
      </c>
      <c r="M241">
        <f t="shared" ca="1" si="16"/>
        <v>5.569209209341703E-2</v>
      </c>
      <c r="N241">
        <f t="shared" ca="1" si="16"/>
        <v>5.5444488594792049E-2</v>
      </c>
    </row>
    <row r="242" spans="4:14" x14ac:dyDescent="0.2">
      <c r="D242">
        <v>240</v>
      </c>
      <c r="E242">
        <f t="shared" ca="1" si="16"/>
        <v>5.5229688618410717E-2</v>
      </c>
      <c r="F242">
        <f t="shared" ca="1" si="16"/>
        <v>5.5231531653690151E-2</v>
      </c>
      <c r="G242">
        <f t="shared" ca="1" si="16"/>
        <v>5.5337669338554954E-2</v>
      </c>
      <c r="H242">
        <f t="shared" ca="1" si="16"/>
        <v>5.5286718089921146E-2</v>
      </c>
      <c r="I242">
        <f t="shared" ca="1" si="16"/>
        <v>5.5337112065288803E-2</v>
      </c>
      <c r="J242">
        <f t="shared" ca="1" si="16"/>
        <v>5.5584749353832098E-2</v>
      </c>
      <c r="K242">
        <f t="shared" ca="1" si="16"/>
        <v>5.5408234400111181E-2</v>
      </c>
      <c r="L242">
        <f t="shared" ca="1" si="16"/>
        <v>5.5509811957718973E-2</v>
      </c>
      <c r="M242">
        <f t="shared" ca="1" si="16"/>
        <v>5.5697223487773818E-2</v>
      </c>
      <c r="N242">
        <f t="shared" ca="1" si="16"/>
        <v>5.5461771624489745E-2</v>
      </c>
    </row>
    <row r="243" spans="4:14" x14ac:dyDescent="0.2">
      <c r="D243">
        <v>241</v>
      </c>
      <c r="E243">
        <f t="shared" ca="1" si="16"/>
        <v>5.5235186671669871E-2</v>
      </c>
      <c r="F243">
        <f t="shared" ca="1" si="16"/>
        <v>5.5218847148074311E-2</v>
      </c>
      <c r="G243">
        <f t="shared" ca="1" si="16"/>
        <v>5.5326318556520294E-2</v>
      </c>
      <c r="H243">
        <f t="shared" ca="1" si="16"/>
        <v>5.5297532602755932E-2</v>
      </c>
      <c r="I243">
        <f t="shared" ca="1" si="16"/>
        <v>5.5330648253444581E-2</v>
      </c>
      <c r="J243">
        <f t="shared" ca="1" si="16"/>
        <v>5.5573558110503497E-2</v>
      </c>
      <c r="K243">
        <f t="shared" ca="1" si="16"/>
        <v>5.5423798903554589E-2</v>
      </c>
      <c r="L243">
        <f t="shared" ca="1" si="16"/>
        <v>5.5516559824999881E-2</v>
      </c>
      <c r="M243">
        <f t="shared" ca="1" si="16"/>
        <v>5.5693627456362686E-2</v>
      </c>
      <c r="N243">
        <f t="shared" ca="1" si="16"/>
        <v>5.5437023911828615E-2</v>
      </c>
    </row>
    <row r="244" spans="4:14" x14ac:dyDescent="0.2">
      <c r="D244">
        <v>242</v>
      </c>
      <c r="E244">
        <f t="shared" ref="E244:N255" ca="1" si="17">$B$1*($B$2-E243)*$B$6+$B$3*SQRT($B$6)*_xlfn.NORM.S.INV(RAND())+E243</f>
        <v>5.5240518361435648E-2</v>
      </c>
      <c r="F244">
        <f t="shared" ca="1" si="17"/>
        <v>5.5225870996721507E-2</v>
      </c>
      <c r="G244">
        <f t="shared" ca="1" si="17"/>
        <v>5.5298807684133817E-2</v>
      </c>
      <c r="H244">
        <f t="shared" ca="1" si="17"/>
        <v>5.5313406675610584E-2</v>
      </c>
      <c r="I244">
        <f t="shared" ca="1" si="17"/>
        <v>5.5329368211130332E-2</v>
      </c>
      <c r="J244">
        <f t="shared" ca="1" si="17"/>
        <v>5.5568106547600221E-2</v>
      </c>
      <c r="K244">
        <f t="shared" ca="1" si="17"/>
        <v>5.5419903394382443E-2</v>
      </c>
      <c r="L244">
        <f t="shared" ca="1" si="17"/>
        <v>5.5502489407051159E-2</v>
      </c>
      <c r="M244">
        <f t="shared" ca="1" si="17"/>
        <v>5.5687214351737208E-2</v>
      </c>
      <c r="N244">
        <f t="shared" ca="1" si="17"/>
        <v>5.544481011427381E-2</v>
      </c>
    </row>
    <row r="245" spans="4:14" x14ac:dyDescent="0.2">
      <c r="D245">
        <v>243</v>
      </c>
      <c r="E245">
        <f t="shared" ca="1" si="17"/>
        <v>5.5230616527942242E-2</v>
      </c>
      <c r="F245">
        <f t="shared" ca="1" si="17"/>
        <v>5.5235457108987612E-2</v>
      </c>
      <c r="G245">
        <f t="shared" ca="1" si="17"/>
        <v>5.5288805316039323E-2</v>
      </c>
      <c r="H245">
        <f t="shared" ca="1" si="17"/>
        <v>5.5315249079081981E-2</v>
      </c>
      <c r="I245">
        <f t="shared" ca="1" si="17"/>
        <v>5.5318808781617913E-2</v>
      </c>
      <c r="J245">
        <f t="shared" ca="1" si="17"/>
        <v>5.5574662081878869E-2</v>
      </c>
      <c r="K245">
        <f t="shared" ca="1" si="17"/>
        <v>5.544457742196781E-2</v>
      </c>
      <c r="L245">
        <f t="shared" ca="1" si="17"/>
        <v>5.5506821743206931E-2</v>
      </c>
      <c r="M245">
        <f t="shared" ca="1" si="17"/>
        <v>5.57065016036132E-2</v>
      </c>
      <c r="N245">
        <f t="shared" ca="1" si="17"/>
        <v>5.5453217312033509E-2</v>
      </c>
    </row>
    <row r="246" spans="4:14" x14ac:dyDescent="0.2">
      <c r="D246">
        <v>244</v>
      </c>
      <c r="E246">
        <f t="shared" ca="1" si="17"/>
        <v>5.5244995078911938E-2</v>
      </c>
      <c r="F246">
        <f t="shared" ca="1" si="17"/>
        <v>5.5236263293899503E-2</v>
      </c>
      <c r="G246">
        <f t="shared" ca="1" si="17"/>
        <v>5.5276523066555269E-2</v>
      </c>
      <c r="H246">
        <f t="shared" ca="1" si="17"/>
        <v>5.5325266169184428E-2</v>
      </c>
      <c r="I246">
        <f t="shared" ca="1" si="17"/>
        <v>5.5322212690807705E-2</v>
      </c>
      <c r="J246">
        <f t="shared" ca="1" si="17"/>
        <v>5.5585790841157168E-2</v>
      </c>
      <c r="K246">
        <f t="shared" ca="1" si="17"/>
        <v>5.5438423926988445E-2</v>
      </c>
      <c r="L246">
        <f t="shared" ca="1" si="17"/>
        <v>5.5489071864858908E-2</v>
      </c>
      <c r="M246">
        <f t="shared" ca="1" si="17"/>
        <v>5.5711696994146083E-2</v>
      </c>
      <c r="N246">
        <f t="shared" ca="1" si="17"/>
        <v>5.5470698874188706E-2</v>
      </c>
    </row>
    <row r="247" spans="4:14" x14ac:dyDescent="0.2">
      <c r="D247">
        <v>245</v>
      </c>
      <c r="E247">
        <f t="shared" ca="1" si="17"/>
        <v>5.5232665038521887E-2</v>
      </c>
      <c r="F247">
        <f t="shared" ca="1" si="17"/>
        <v>5.5214698172155942E-2</v>
      </c>
      <c r="G247">
        <f t="shared" ca="1" si="17"/>
        <v>5.5283213958883026E-2</v>
      </c>
      <c r="H247">
        <f t="shared" ca="1" si="17"/>
        <v>5.5325852751701259E-2</v>
      </c>
      <c r="I247">
        <f t="shared" ca="1" si="17"/>
        <v>5.5326604874901666E-2</v>
      </c>
      <c r="J247">
        <f t="shared" ca="1" si="17"/>
        <v>5.5584337923083288E-2</v>
      </c>
      <c r="K247">
        <f t="shared" ca="1" si="17"/>
        <v>5.5435477744422965E-2</v>
      </c>
      <c r="L247">
        <f t="shared" ca="1" si="17"/>
        <v>5.5473892840631825E-2</v>
      </c>
      <c r="M247">
        <f t="shared" ca="1" si="17"/>
        <v>5.5728116432519861E-2</v>
      </c>
      <c r="N247">
        <f t="shared" ca="1" si="17"/>
        <v>5.5469286011844705E-2</v>
      </c>
    </row>
    <row r="248" spans="4:14" x14ac:dyDescent="0.2">
      <c r="D248">
        <v>246</v>
      </c>
      <c r="E248">
        <f t="shared" ca="1" si="17"/>
        <v>5.5230761540708689E-2</v>
      </c>
      <c r="F248">
        <f t="shared" ca="1" si="17"/>
        <v>5.5211953069059086E-2</v>
      </c>
      <c r="G248">
        <f t="shared" ca="1" si="17"/>
        <v>5.530743907230512E-2</v>
      </c>
      <c r="H248">
        <f t="shared" ca="1" si="17"/>
        <v>5.5310696397342859E-2</v>
      </c>
      <c r="I248">
        <f t="shared" ca="1" si="17"/>
        <v>5.5341151271060519E-2</v>
      </c>
      <c r="J248">
        <f t="shared" ca="1" si="17"/>
        <v>5.5597681601496036E-2</v>
      </c>
      <c r="K248">
        <f t="shared" ca="1" si="17"/>
        <v>5.5447818261835154E-2</v>
      </c>
      <c r="L248">
        <f t="shared" ca="1" si="17"/>
        <v>5.5486174405933161E-2</v>
      </c>
      <c r="M248">
        <f t="shared" ca="1" si="17"/>
        <v>5.5734608606207658E-2</v>
      </c>
      <c r="N248">
        <f t="shared" ca="1" si="17"/>
        <v>5.5462560929876129E-2</v>
      </c>
    </row>
    <row r="249" spans="4:14" x14ac:dyDescent="0.2">
      <c r="D249">
        <v>247</v>
      </c>
      <c r="E249">
        <f t="shared" ca="1" si="17"/>
        <v>5.5237718988528098E-2</v>
      </c>
      <c r="F249">
        <f t="shared" ca="1" si="17"/>
        <v>5.5218514786166073E-2</v>
      </c>
      <c r="G249">
        <f t="shared" ca="1" si="17"/>
        <v>5.5303257156544598E-2</v>
      </c>
      <c r="H249">
        <f t="shared" ca="1" si="17"/>
        <v>5.5318737215017337E-2</v>
      </c>
      <c r="I249">
        <f t="shared" ca="1" si="17"/>
        <v>5.5360042151046444E-2</v>
      </c>
      <c r="J249">
        <f t="shared" ca="1" si="17"/>
        <v>5.5578907288553005E-2</v>
      </c>
      <c r="K249">
        <f t="shared" ca="1" si="17"/>
        <v>5.5431271224844425E-2</v>
      </c>
      <c r="L249">
        <f t="shared" ca="1" si="17"/>
        <v>5.5461333565949629E-2</v>
      </c>
      <c r="M249">
        <f t="shared" ca="1" si="17"/>
        <v>5.5738066764895872E-2</v>
      </c>
      <c r="N249">
        <f t="shared" ca="1" si="17"/>
        <v>5.5448937045993914E-2</v>
      </c>
    </row>
    <row r="250" spans="4:14" x14ac:dyDescent="0.2">
      <c r="D250">
        <v>248</v>
      </c>
      <c r="E250">
        <f t="shared" ca="1" si="17"/>
        <v>5.5243138389488571E-2</v>
      </c>
      <c r="F250">
        <f t="shared" ca="1" si="17"/>
        <v>5.5235247170620443E-2</v>
      </c>
      <c r="G250">
        <f t="shared" ca="1" si="17"/>
        <v>5.5301695689171912E-2</v>
      </c>
      <c r="H250">
        <f t="shared" ca="1" si="17"/>
        <v>5.531199826381545E-2</v>
      </c>
      <c r="I250">
        <f t="shared" ca="1" si="17"/>
        <v>5.5349451400916204E-2</v>
      </c>
      <c r="J250">
        <f t="shared" ca="1" si="17"/>
        <v>5.5558137106384332E-2</v>
      </c>
      <c r="K250">
        <f t="shared" ca="1" si="17"/>
        <v>5.5449576133023405E-2</v>
      </c>
      <c r="L250">
        <f t="shared" ca="1" si="17"/>
        <v>5.5476703957880374E-2</v>
      </c>
      <c r="M250">
        <f t="shared" ca="1" si="17"/>
        <v>5.5731841558111762E-2</v>
      </c>
      <c r="N250">
        <f t="shared" ca="1" si="17"/>
        <v>5.5442767930165025E-2</v>
      </c>
    </row>
    <row r="251" spans="4:14" x14ac:dyDescent="0.2">
      <c r="D251">
        <v>249</v>
      </c>
      <c r="E251">
        <f t="shared" ca="1" si="17"/>
        <v>5.5224067014089114E-2</v>
      </c>
      <c r="F251">
        <f t="shared" ca="1" si="17"/>
        <v>5.5242323630130992E-2</v>
      </c>
      <c r="G251">
        <f t="shared" ca="1" si="17"/>
        <v>5.5291767297593775E-2</v>
      </c>
      <c r="H251">
        <f t="shared" ca="1" si="17"/>
        <v>5.5318786692569781E-2</v>
      </c>
      <c r="I251">
        <f t="shared" ca="1" si="17"/>
        <v>5.5360076437740213E-2</v>
      </c>
      <c r="J251">
        <f t="shared" ca="1" si="17"/>
        <v>5.5544298471310032E-2</v>
      </c>
      <c r="K251">
        <f t="shared" ca="1" si="17"/>
        <v>5.5459884646779145E-2</v>
      </c>
      <c r="L251">
        <f t="shared" ca="1" si="17"/>
        <v>5.5465292786736606E-2</v>
      </c>
      <c r="M251">
        <f t="shared" ca="1" si="17"/>
        <v>5.5760622111353672E-2</v>
      </c>
      <c r="N251">
        <f t="shared" ca="1" si="17"/>
        <v>5.5450595839785337E-2</v>
      </c>
    </row>
    <row r="252" spans="4:14" x14ac:dyDescent="0.2">
      <c r="D252">
        <v>250</v>
      </c>
      <c r="E252">
        <f t="shared" ca="1" si="17"/>
        <v>5.5217048695189556E-2</v>
      </c>
      <c r="F252">
        <f t="shared" ca="1" si="17"/>
        <v>5.5230936618268826E-2</v>
      </c>
      <c r="G252">
        <f t="shared" ca="1" si="17"/>
        <v>5.5296103095551441E-2</v>
      </c>
      <c r="H252">
        <f t="shared" ca="1" si="17"/>
        <v>5.5308665574369927E-2</v>
      </c>
      <c r="I252">
        <f t="shared" ca="1" si="17"/>
        <v>5.5359912431437036E-2</v>
      </c>
      <c r="J252">
        <f t="shared" ca="1" si="17"/>
        <v>5.5531133182861063E-2</v>
      </c>
      <c r="K252">
        <f t="shared" ca="1" si="17"/>
        <v>5.545396096428741E-2</v>
      </c>
      <c r="L252">
        <f t="shared" ca="1" si="17"/>
        <v>5.5481972265237281E-2</v>
      </c>
      <c r="M252">
        <f t="shared" ca="1" si="17"/>
        <v>5.5734396699190343E-2</v>
      </c>
      <c r="N252">
        <f t="shared" ca="1" si="17"/>
        <v>5.5452784379648151E-2</v>
      </c>
    </row>
    <row r="253" spans="4:14" x14ac:dyDescent="0.2">
      <c r="D253">
        <v>251</v>
      </c>
      <c r="E253">
        <f t="shared" ca="1" si="17"/>
        <v>5.5222329473651945E-2</v>
      </c>
      <c r="F253">
        <f t="shared" ca="1" si="17"/>
        <v>5.5234099622189101E-2</v>
      </c>
      <c r="G253">
        <f t="shared" ca="1" si="17"/>
        <v>5.5309401151596514E-2</v>
      </c>
      <c r="H253">
        <f t="shared" ca="1" si="17"/>
        <v>5.5309802110123776E-2</v>
      </c>
      <c r="I253">
        <f t="shared" ca="1" si="17"/>
        <v>5.5355789404633163E-2</v>
      </c>
      <c r="J253">
        <f t="shared" ca="1" si="17"/>
        <v>5.5541266559510569E-2</v>
      </c>
      <c r="K253">
        <f t="shared" ca="1" si="17"/>
        <v>5.545558773383806E-2</v>
      </c>
      <c r="L253">
        <f t="shared" ca="1" si="17"/>
        <v>5.5492012700306965E-2</v>
      </c>
      <c r="M253">
        <f t="shared" ca="1" si="17"/>
        <v>5.5719704439420384E-2</v>
      </c>
      <c r="N253">
        <f t="shared" ca="1" si="17"/>
        <v>5.5461265220461159E-2</v>
      </c>
    </row>
    <row r="254" spans="4:14" x14ac:dyDescent="0.2">
      <c r="D254">
        <v>252</v>
      </c>
      <c r="E254">
        <f t="shared" ca="1" si="17"/>
        <v>5.5237874391835189E-2</v>
      </c>
      <c r="F254">
        <f t="shared" ca="1" si="17"/>
        <v>5.5222035785871884E-2</v>
      </c>
      <c r="G254">
        <f t="shared" ca="1" si="17"/>
        <v>5.5311401217227725E-2</v>
      </c>
      <c r="H254">
        <f t="shared" ca="1" si="17"/>
        <v>5.5299372299812272E-2</v>
      </c>
      <c r="I254">
        <f t="shared" ca="1" si="17"/>
        <v>5.535946747805244E-2</v>
      </c>
      <c r="J254">
        <f t="shared" ca="1" si="17"/>
        <v>5.5555979981854429E-2</v>
      </c>
      <c r="K254">
        <f t="shared" ca="1" si="17"/>
        <v>5.546498995003836E-2</v>
      </c>
      <c r="L254">
        <f t="shared" ca="1" si="17"/>
        <v>5.5488852314091841E-2</v>
      </c>
      <c r="M254">
        <f t="shared" ca="1" si="17"/>
        <v>5.5722620379632687E-2</v>
      </c>
      <c r="N254">
        <f t="shared" ca="1" si="17"/>
        <v>5.5462564362341975E-2</v>
      </c>
    </row>
    <row r="255" spans="4:14" x14ac:dyDescent="0.2">
      <c r="D255">
        <v>253</v>
      </c>
      <c r="E255">
        <f ca="1">$B$1*($B$2-E254)*$B$6+$B$3*SQRT($B$6)*_xlfn.NORM.S.INV(RAND())+E254</f>
        <v>5.5244401143694825E-2</v>
      </c>
      <c r="F255">
        <f t="shared" ca="1" si="17"/>
        <v>5.5260451457169187E-2</v>
      </c>
      <c r="G255">
        <f t="shared" ca="1" si="17"/>
        <v>5.5311957693674675E-2</v>
      </c>
      <c r="H255">
        <f t="shared" ca="1" si="17"/>
        <v>5.5287915401168002E-2</v>
      </c>
      <c r="I255">
        <f t="shared" ca="1" si="17"/>
        <v>5.5347344601053061E-2</v>
      </c>
      <c r="J255">
        <f t="shared" ca="1" si="17"/>
        <v>5.5570180248291537E-2</v>
      </c>
      <c r="K255">
        <f t="shared" ca="1" si="17"/>
        <v>5.5461583666566248E-2</v>
      </c>
      <c r="L255">
        <f t="shared" ca="1" si="17"/>
        <v>5.5485084547810641E-2</v>
      </c>
      <c r="M255">
        <f t="shared" ca="1" si="17"/>
        <v>5.5704817895719197E-2</v>
      </c>
      <c r="N255">
        <f t="shared" ca="1" si="17"/>
        <v>5.5473300481340325E-2</v>
      </c>
    </row>
  </sheetData>
  <mergeCells count="1">
    <mergeCell ref="P2:T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1A23-B5D2-5D40-8E7A-3D617B04F048}">
  <dimension ref="A1:P414"/>
  <sheetViews>
    <sheetView showGridLines="0" tabSelected="1" zoomScale="144" workbookViewId="0">
      <selection activeCell="H19" sqref="H19"/>
    </sheetView>
  </sheetViews>
  <sheetFormatPr baseColWidth="10" defaultRowHeight="16" x14ac:dyDescent="0.2"/>
  <cols>
    <col min="1" max="1" width="6.6640625" bestFit="1" customWidth="1"/>
    <col min="2" max="2" width="8.5" bestFit="1" customWidth="1"/>
    <col min="3" max="3" width="5.1640625" bestFit="1" customWidth="1"/>
    <col min="4" max="4" width="7.5" bestFit="1" customWidth="1"/>
    <col min="5" max="5" width="7.83203125" bestFit="1" customWidth="1"/>
    <col min="6" max="6" width="10.6640625" bestFit="1" customWidth="1"/>
    <col min="7" max="7" width="8.5" bestFit="1" customWidth="1"/>
    <col min="8" max="8" width="16.6640625" bestFit="1" customWidth="1"/>
    <col min="9" max="9" width="15.33203125" bestFit="1" customWidth="1"/>
    <col min="10" max="10" width="13.33203125" bestFit="1" customWidth="1"/>
    <col min="11" max="11" width="6.5" customWidth="1"/>
    <col min="12" max="12" width="9" bestFit="1" customWidth="1"/>
    <col min="13" max="13" width="5.83203125" customWidth="1"/>
    <col min="14" max="14" width="22.1640625" bestFit="1" customWidth="1"/>
    <col min="15" max="15" width="12.6640625" bestFit="1" customWidth="1"/>
    <col min="16" max="16" width="7.1640625" bestFit="1" customWidth="1"/>
    <col min="23" max="23" width="16.83203125" bestFit="1" customWidth="1"/>
    <col min="24" max="24" width="12.83203125" bestFit="1" customWidth="1"/>
  </cols>
  <sheetData>
    <row r="1" spans="1:16" ht="17" thickBot="1" x14ac:dyDescent="0.25">
      <c r="A1" s="6" t="s">
        <v>17</v>
      </c>
      <c r="B1" s="7" t="s">
        <v>0</v>
      </c>
      <c r="C1" s="7" t="s">
        <v>3</v>
      </c>
      <c r="D1" s="8" t="s">
        <v>18</v>
      </c>
      <c r="E1" s="9" t="s">
        <v>19</v>
      </c>
      <c r="F1" s="8" t="s">
        <v>20</v>
      </c>
      <c r="G1" s="8" t="s">
        <v>48</v>
      </c>
      <c r="H1" s="8" t="s">
        <v>50</v>
      </c>
      <c r="I1" s="8" t="s">
        <v>23</v>
      </c>
      <c r="J1" s="10" t="s">
        <v>24</v>
      </c>
      <c r="L1" s="11" t="s">
        <v>25</v>
      </c>
      <c r="N1" s="12" t="s">
        <v>26</v>
      </c>
      <c r="O1" s="13" t="s">
        <v>27</v>
      </c>
      <c r="P1" s="14" t="s">
        <v>28</v>
      </c>
    </row>
    <row r="2" spans="1:16" x14ac:dyDescent="0.2">
      <c r="A2" s="15">
        <v>1</v>
      </c>
      <c r="B2" s="3">
        <v>45446</v>
      </c>
      <c r="C2" s="4">
        <v>5.52</v>
      </c>
      <c r="D2" s="16">
        <f t="shared" ref="D2:D66" si="0">C2/100</f>
        <v>5.5199999999999999E-2</v>
      </c>
      <c r="E2" s="17">
        <f>(D2/D3-1)</f>
        <v>1.098901098901095E-2</v>
      </c>
      <c r="F2" s="18">
        <f t="shared" ref="F2:F65" si="1">D2-D3</f>
        <v>5.9999999999999637E-4</v>
      </c>
      <c r="G2" s="19">
        <f>$O$2*($O$3-D3)*$O$7</f>
        <v>1.3072995693831865E-5</v>
      </c>
      <c r="H2" s="20">
        <f t="shared" ref="H2:H65" si="2">F2-G2</f>
        <v>5.8692700430616447E-4</v>
      </c>
      <c r="I2" s="21">
        <f>NORMDIST(H2,0,$O$4,FALSE)</f>
        <v>11.439409761540064</v>
      </c>
      <c r="J2" s="22">
        <f>LN(I2)</f>
        <v>2.4370643903496481</v>
      </c>
      <c r="L2" s="23">
        <f>SUM(J2:J252)</f>
        <v>1806.8064649175481</v>
      </c>
      <c r="N2" s="24" t="s">
        <v>29</v>
      </c>
      <c r="O2" s="27">
        <v>11.078597160314111</v>
      </c>
      <c r="P2" s="27">
        <v>0.5</v>
      </c>
    </row>
    <row r="3" spans="1:16" x14ac:dyDescent="0.2">
      <c r="A3" s="15">
        <v>2</v>
      </c>
      <c r="B3" s="3">
        <v>45443</v>
      </c>
      <c r="C3" s="4">
        <v>5.46</v>
      </c>
      <c r="D3" s="16">
        <f t="shared" si="0"/>
        <v>5.4600000000000003E-2</v>
      </c>
      <c r="E3" s="17">
        <f t="shared" ref="E3:E66" si="3">(D3/D4-1)</f>
        <v>0</v>
      </c>
      <c r="F3" s="18">
        <f t="shared" si="1"/>
        <v>0</v>
      </c>
      <c r="G3" s="19">
        <f t="shared" ref="G3:G65" si="4">$O$2*($O$3-D4)*$O$7</f>
        <v>1.3072995693831865E-5</v>
      </c>
      <c r="H3" s="20">
        <f t="shared" si="2"/>
        <v>-1.3072995693831865E-5</v>
      </c>
      <c r="I3" s="21">
        <f t="shared" ref="I3:I66" si="5">NORMDIST(H3,0,$O$4,FALSE)</f>
        <v>2199.1612499925154</v>
      </c>
      <c r="J3" s="22">
        <f t="shared" ref="J3:J66" si="6">LN(I3)</f>
        <v>7.6958313166487455</v>
      </c>
      <c r="N3" s="24" t="s">
        <v>30</v>
      </c>
      <c r="O3" s="27">
        <v>5.4897365710403018E-2</v>
      </c>
      <c r="P3" s="27">
        <v>0.05</v>
      </c>
    </row>
    <row r="4" spans="1:16" x14ac:dyDescent="0.2">
      <c r="A4" s="15">
        <v>3</v>
      </c>
      <c r="B4" s="3">
        <v>45442</v>
      </c>
      <c r="C4" s="4">
        <v>5.46</v>
      </c>
      <c r="D4" s="16">
        <f t="shared" si="0"/>
        <v>5.4600000000000003E-2</v>
      </c>
      <c r="E4" s="17">
        <f t="shared" si="3"/>
        <v>0</v>
      </c>
      <c r="F4" s="18">
        <f t="shared" si="1"/>
        <v>0</v>
      </c>
      <c r="G4" s="19">
        <f t="shared" si="4"/>
        <v>1.3072995693831865E-5</v>
      </c>
      <c r="H4" s="20">
        <f t="shared" si="2"/>
        <v>-1.3072995693831865E-5</v>
      </c>
      <c r="I4" s="21">
        <f t="shared" si="5"/>
        <v>2199.1612499925154</v>
      </c>
      <c r="J4" s="22">
        <f t="shared" si="6"/>
        <v>7.6958313166487455</v>
      </c>
      <c r="L4" s="43"/>
      <c r="N4" s="24" t="s">
        <v>31</v>
      </c>
      <c r="O4" s="29">
        <v>1.8093366308771135E-4</v>
      </c>
      <c r="P4" s="29">
        <f>_xlfn.STDEV.S(E2:E252)</f>
        <v>3.3507144360948623E-3</v>
      </c>
    </row>
    <row r="5" spans="1:16" x14ac:dyDescent="0.2">
      <c r="A5" s="15">
        <v>4</v>
      </c>
      <c r="B5" s="3">
        <v>45441</v>
      </c>
      <c r="C5" s="4">
        <v>5.46</v>
      </c>
      <c r="D5" s="16">
        <f t="shared" si="0"/>
        <v>5.4600000000000003E-2</v>
      </c>
      <c r="E5" s="17">
        <f t="shared" si="3"/>
        <v>0</v>
      </c>
      <c r="F5" s="18">
        <f t="shared" si="1"/>
        <v>0</v>
      </c>
      <c r="G5" s="19">
        <f t="shared" si="4"/>
        <v>1.3072995693831865E-5</v>
      </c>
      <c r="H5" s="20">
        <f t="shared" si="2"/>
        <v>-1.3072995693831865E-5</v>
      </c>
      <c r="I5" s="21">
        <f t="shared" si="5"/>
        <v>2199.1612499925154</v>
      </c>
      <c r="J5" s="22">
        <f t="shared" si="6"/>
        <v>7.6958313166487455</v>
      </c>
      <c r="K5" t="s">
        <v>49</v>
      </c>
      <c r="L5" t="s">
        <v>51</v>
      </c>
      <c r="N5" s="24" t="s">
        <v>32</v>
      </c>
      <c r="O5">
        <f>D2</f>
        <v>5.5199999999999999E-2</v>
      </c>
      <c r="P5" s="27"/>
    </row>
    <row r="6" spans="1:16" x14ac:dyDescent="0.2">
      <c r="A6" s="15">
        <v>5</v>
      </c>
      <c r="B6" s="3">
        <v>45440</v>
      </c>
      <c r="C6" s="4">
        <v>5.46</v>
      </c>
      <c r="D6" s="16">
        <f t="shared" si="0"/>
        <v>5.4600000000000003E-2</v>
      </c>
      <c r="E6" s="17">
        <f t="shared" si="3"/>
        <v>0</v>
      </c>
      <c r="F6" s="18">
        <f t="shared" si="1"/>
        <v>0</v>
      </c>
      <c r="G6" s="19">
        <f t="shared" si="4"/>
        <v>1.3072995693831865E-5</v>
      </c>
      <c r="H6" s="20">
        <f t="shared" si="2"/>
        <v>-1.3072995693831865E-5</v>
      </c>
      <c r="I6" s="21">
        <f t="shared" si="5"/>
        <v>2199.1612499925154</v>
      </c>
      <c r="J6" s="22">
        <f t="shared" si="6"/>
        <v>7.6958313166487455</v>
      </c>
      <c r="L6" s="44"/>
      <c r="N6" s="24" t="s">
        <v>33</v>
      </c>
      <c r="O6">
        <v>252</v>
      </c>
      <c r="P6" s="27"/>
    </row>
    <row r="7" spans="1:16" ht="17" thickBot="1" x14ac:dyDescent="0.25">
      <c r="A7" s="15">
        <v>6</v>
      </c>
      <c r="B7" s="3">
        <v>45436</v>
      </c>
      <c r="C7" s="4">
        <v>5.46</v>
      </c>
      <c r="D7" s="16">
        <f t="shared" si="0"/>
        <v>5.4600000000000003E-2</v>
      </c>
      <c r="E7" s="17">
        <f t="shared" si="3"/>
        <v>0</v>
      </c>
      <c r="F7" s="18">
        <f t="shared" si="1"/>
        <v>0</v>
      </c>
      <c r="G7" s="19">
        <f t="shared" si="4"/>
        <v>1.3072995693831865E-5</v>
      </c>
      <c r="H7" s="20">
        <f t="shared" si="2"/>
        <v>-1.3072995693831865E-5</v>
      </c>
      <c r="I7" s="21">
        <f t="shared" si="5"/>
        <v>2199.1612499925154</v>
      </c>
      <c r="J7" s="22">
        <f t="shared" si="6"/>
        <v>7.6958313166487455</v>
      </c>
      <c r="N7" s="31" t="s">
        <v>34</v>
      </c>
      <c r="O7" s="32">
        <f>1/O6</f>
        <v>3.968253968253968E-3</v>
      </c>
      <c r="P7" s="33"/>
    </row>
    <row r="8" spans="1:16" x14ac:dyDescent="0.2">
      <c r="A8" s="15">
        <v>7</v>
      </c>
      <c r="B8" s="3">
        <v>45435</v>
      </c>
      <c r="C8" s="4">
        <v>5.46</v>
      </c>
      <c r="D8" s="16">
        <f t="shared" si="0"/>
        <v>5.4600000000000003E-2</v>
      </c>
      <c r="E8" s="17">
        <f t="shared" si="3"/>
        <v>1.8348623853210455E-3</v>
      </c>
      <c r="F8" s="18">
        <f t="shared" si="1"/>
        <v>1.0000000000000286E-4</v>
      </c>
      <c r="G8" s="19">
        <f t="shared" si="4"/>
        <v>1.7469264408242352E-5</v>
      </c>
      <c r="H8" s="20">
        <f t="shared" si="2"/>
        <v>8.2530735591760515E-5</v>
      </c>
      <c r="I8" s="21">
        <f t="shared" si="5"/>
        <v>1987.0583025871106</v>
      </c>
      <c r="J8" s="22">
        <f t="shared" si="6"/>
        <v>7.5944105841380116</v>
      </c>
      <c r="L8" s="25"/>
    </row>
    <row r="9" spans="1:16" x14ac:dyDescent="0.2">
      <c r="A9" s="15">
        <v>8</v>
      </c>
      <c r="B9" s="3">
        <v>45434</v>
      </c>
      <c r="C9" s="4">
        <v>5.45</v>
      </c>
      <c r="D9" s="16">
        <f t="shared" si="0"/>
        <v>5.45E-2</v>
      </c>
      <c r="E9" s="17">
        <f t="shared" si="3"/>
        <v>0</v>
      </c>
      <c r="F9" s="18">
        <f t="shared" si="1"/>
        <v>0</v>
      </c>
      <c r="G9" s="19">
        <f t="shared" si="4"/>
        <v>1.7469264408242352E-5</v>
      </c>
      <c r="H9" s="20">
        <f t="shared" si="2"/>
        <v>-1.7469264408242352E-5</v>
      </c>
      <c r="I9" s="21">
        <f t="shared" si="5"/>
        <v>2194.6559005001559</v>
      </c>
      <c r="J9" s="22">
        <f t="shared" si="6"/>
        <v>7.6937805480723389</v>
      </c>
    </row>
    <row r="10" spans="1:16" x14ac:dyDescent="0.2">
      <c r="A10" s="15">
        <v>9</v>
      </c>
      <c r="B10" s="3">
        <v>45433</v>
      </c>
      <c r="C10" s="4">
        <v>5.45</v>
      </c>
      <c r="D10" s="16">
        <f t="shared" si="0"/>
        <v>5.45E-2</v>
      </c>
      <c r="E10" s="17">
        <f t="shared" si="3"/>
        <v>0</v>
      </c>
      <c r="F10" s="18">
        <f t="shared" si="1"/>
        <v>0</v>
      </c>
      <c r="G10" s="19">
        <f t="shared" si="4"/>
        <v>1.7469264408242352E-5</v>
      </c>
      <c r="H10" s="20">
        <f t="shared" si="2"/>
        <v>-1.7469264408242352E-5</v>
      </c>
      <c r="I10" s="21">
        <f t="shared" si="5"/>
        <v>2194.6559005001559</v>
      </c>
      <c r="J10" s="22">
        <f t="shared" si="6"/>
        <v>7.6937805480723389</v>
      </c>
      <c r="L10" s="28"/>
    </row>
    <row r="11" spans="1:16" x14ac:dyDescent="0.2">
      <c r="A11" s="15">
        <v>10</v>
      </c>
      <c r="B11" s="3">
        <v>45432</v>
      </c>
      <c r="C11" s="4">
        <v>5.45</v>
      </c>
      <c r="D11" s="16">
        <f t="shared" si="0"/>
        <v>5.45E-2</v>
      </c>
      <c r="E11" s="17">
        <f t="shared" si="3"/>
        <v>-1.831501831501936E-3</v>
      </c>
      <c r="F11" s="18">
        <f t="shared" si="1"/>
        <v>-1.0000000000000286E-4</v>
      </c>
      <c r="G11" s="19">
        <f t="shared" si="4"/>
        <v>1.3072995693831865E-5</v>
      </c>
      <c r="H11" s="20">
        <f t="shared" si="2"/>
        <v>-1.1307299569383473E-4</v>
      </c>
      <c r="I11" s="21">
        <f t="shared" si="5"/>
        <v>1813.7748092411898</v>
      </c>
      <c r="J11" s="22">
        <f t="shared" si="6"/>
        <v>7.5031654825286616</v>
      </c>
    </row>
    <row r="12" spans="1:16" x14ac:dyDescent="0.2">
      <c r="A12" s="15">
        <v>11</v>
      </c>
      <c r="B12" s="3">
        <v>45429</v>
      </c>
      <c r="C12" s="4">
        <v>5.46</v>
      </c>
      <c r="D12" s="16">
        <f t="shared" si="0"/>
        <v>5.4600000000000003E-2</v>
      </c>
      <c r="E12" s="17">
        <f t="shared" si="3"/>
        <v>1.8348623853210455E-3</v>
      </c>
      <c r="F12" s="18">
        <f t="shared" si="1"/>
        <v>1.0000000000000286E-4</v>
      </c>
      <c r="G12" s="19">
        <f t="shared" si="4"/>
        <v>1.7469264408242352E-5</v>
      </c>
      <c r="H12" s="20">
        <f t="shared" si="2"/>
        <v>8.2530735591760515E-5</v>
      </c>
      <c r="I12" s="21">
        <f t="shared" si="5"/>
        <v>1987.0583025871106</v>
      </c>
      <c r="J12" s="22">
        <f t="shared" si="6"/>
        <v>7.5944105841380116</v>
      </c>
    </row>
    <row r="13" spans="1:16" x14ac:dyDescent="0.2">
      <c r="A13" s="15">
        <v>12</v>
      </c>
      <c r="B13" s="3">
        <v>45428</v>
      </c>
      <c r="C13" s="4">
        <v>5.45</v>
      </c>
      <c r="D13" s="16">
        <f t="shared" si="0"/>
        <v>5.45E-2</v>
      </c>
      <c r="E13" s="17">
        <f t="shared" si="3"/>
        <v>0</v>
      </c>
      <c r="F13" s="18">
        <f t="shared" si="1"/>
        <v>0</v>
      </c>
      <c r="G13" s="19">
        <f t="shared" si="4"/>
        <v>1.7469264408242352E-5</v>
      </c>
      <c r="H13" s="20">
        <f t="shared" si="2"/>
        <v>-1.7469264408242352E-5</v>
      </c>
      <c r="I13" s="21">
        <f t="shared" si="5"/>
        <v>2194.6559005001559</v>
      </c>
      <c r="J13" s="22">
        <f t="shared" si="6"/>
        <v>7.6937805480723389</v>
      </c>
    </row>
    <row r="14" spans="1:16" x14ac:dyDescent="0.2">
      <c r="A14" s="15">
        <v>13</v>
      </c>
      <c r="B14" s="3">
        <v>45427</v>
      </c>
      <c r="C14" s="4">
        <v>5.45</v>
      </c>
      <c r="D14" s="16">
        <f t="shared" si="0"/>
        <v>5.45E-2</v>
      </c>
      <c r="E14" s="17">
        <f t="shared" si="3"/>
        <v>1.8382352941175295E-3</v>
      </c>
      <c r="F14" s="18">
        <f t="shared" si="1"/>
        <v>9.9999999999995925E-5</v>
      </c>
      <c r="G14" s="19">
        <f t="shared" si="4"/>
        <v>2.1865533122652535E-5</v>
      </c>
      <c r="H14" s="20">
        <f t="shared" si="2"/>
        <v>7.8134466877343394E-5</v>
      </c>
      <c r="I14" s="21">
        <f t="shared" si="5"/>
        <v>2008.6105512580007</v>
      </c>
      <c r="J14" s="22">
        <f t="shared" si="6"/>
        <v>7.6051984939863662</v>
      </c>
    </row>
    <row r="15" spans="1:16" x14ac:dyDescent="0.2">
      <c r="A15" s="15">
        <v>14</v>
      </c>
      <c r="B15" s="3">
        <v>45426</v>
      </c>
      <c r="C15" s="4">
        <v>5.44</v>
      </c>
      <c r="D15" s="16">
        <f t="shared" si="0"/>
        <v>5.4400000000000004E-2</v>
      </c>
      <c r="E15" s="17">
        <f t="shared" si="3"/>
        <v>-1.8348623853210455E-3</v>
      </c>
      <c r="F15" s="18">
        <f t="shared" si="1"/>
        <v>-9.9999999999995925E-5</v>
      </c>
      <c r="G15" s="19">
        <f t="shared" si="4"/>
        <v>1.7469264408242352E-5</v>
      </c>
      <c r="H15" s="20">
        <f t="shared" si="2"/>
        <v>-1.1746926440823827E-4</v>
      </c>
      <c r="I15" s="21">
        <f t="shared" si="5"/>
        <v>1785.9140895942071</v>
      </c>
      <c r="J15" s="22">
        <f t="shared" si="6"/>
        <v>7.4876856581485969</v>
      </c>
    </row>
    <row r="16" spans="1:16" x14ac:dyDescent="0.2">
      <c r="A16" s="15">
        <v>15</v>
      </c>
      <c r="B16" s="3">
        <v>45425</v>
      </c>
      <c r="C16" s="4">
        <v>5.45</v>
      </c>
      <c r="D16" s="16">
        <f t="shared" si="0"/>
        <v>5.45E-2</v>
      </c>
      <c r="E16" s="17">
        <f t="shared" si="3"/>
        <v>-3.6563071297989191E-3</v>
      </c>
      <c r="F16" s="18">
        <f t="shared" si="1"/>
        <v>-1.9999999999999879E-4</v>
      </c>
      <c r="G16" s="19">
        <f t="shared" si="4"/>
        <v>8.6767269794216835E-6</v>
      </c>
      <c r="H16" s="20">
        <f t="shared" si="2"/>
        <v>-2.0867672697942046E-4</v>
      </c>
      <c r="I16" s="21">
        <f t="shared" si="5"/>
        <v>1133.8262993234048</v>
      </c>
      <c r="J16" s="22">
        <f t="shared" si="6"/>
        <v>7.033353297355359</v>
      </c>
    </row>
    <row r="17" spans="1:15" x14ac:dyDescent="0.2">
      <c r="A17" s="15">
        <v>16</v>
      </c>
      <c r="B17" s="3">
        <v>45422</v>
      </c>
      <c r="C17" s="4">
        <v>5.47</v>
      </c>
      <c r="D17" s="16">
        <f t="shared" si="0"/>
        <v>5.4699999999999999E-2</v>
      </c>
      <c r="E17" s="17">
        <f t="shared" si="3"/>
        <v>1.831501831501825E-3</v>
      </c>
      <c r="F17" s="18">
        <f t="shared" si="1"/>
        <v>9.9999999999995925E-5</v>
      </c>
      <c r="G17" s="19">
        <f t="shared" si="4"/>
        <v>1.3072995693831865E-5</v>
      </c>
      <c r="H17" s="20">
        <f t="shared" si="2"/>
        <v>8.6927004306164057E-5</v>
      </c>
      <c r="I17" s="21">
        <f t="shared" si="5"/>
        <v>1964.5771236824423</v>
      </c>
      <c r="J17" s="22">
        <f t="shared" si="6"/>
        <v>7.583032296910754</v>
      </c>
    </row>
    <row r="18" spans="1:15" x14ac:dyDescent="0.2">
      <c r="A18" s="15">
        <v>17</v>
      </c>
      <c r="B18" s="3">
        <v>45421</v>
      </c>
      <c r="C18" s="4">
        <v>5.46</v>
      </c>
      <c r="D18" s="16">
        <f t="shared" si="0"/>
        <v>5.4600000000000003E-2</v>
      </c>
      <c r="E18" s="17">
        <f t="shared" si="3"/>
        <v>1.8348623853210455E-3</v>
      </c>
      <c r="F18" s="18">
        <f t="shared" si="1"/>
        <v>1.0000000000000286E-4</v>
      </c>
      <c r="G18" s="19">
        <f t="shared" si="4"/>
        <v>1.7469264408242352E-5</v>
      </c>
      <c r="H18" s="20">
        <f t="shared" si="2"/>
        <v>8.2530735591760515E-5</v>
      </c>
      <c r="I18" s="21">
        <f t="shared" si="5"/>
        <v>1987.0583025871106</v>
      </c>
      <c r="J18" s="22">
        <f t="shared" si="6"/>
        <v>7.5944105841380116</v>
      </c>
    </row>
    <row r="19" spans="1:15" x14ac:dyDescent="0.2">
      <c r="A19" s="15">
        <v>18</v>
      </c>
      <c r="B19" s="3">
        <v>45420</v>
      </c>
      <c r="C19" s="4">
        <v>5.45</v>
      </c>
      <c r="D19" s="16">
        <f t="shared" si="0"/>
        <v>5.45E-2</v>
      </c>
      <c r="E19" s="17">
        <f t="shared" si="3"/>
        <v>0</v>
      </c>
      <c r="F19" s="18">
        <f t="shared" si="1"/>
        <v>0</v>
      </c>
      <c r="G19" s="19">
        <f t="shared" si="4"/>
        <v>1.7469264408242352E-5</v>
      </c>
      <c r="H19" s="20">
        <f t="shared" si="2"/>
        <v>-1.7469264408242352E-5</v>
      </c>
      <c r="I19" s="21">
        <f t="shared" si="5"/>
        <v>2194.6559005001559</v>
      </c>
      <c r="J19" s="22">
        <f t="shared" si="6"/>
        <v>7.6937805480723389</v>
      </c>
    </row>
    <row r="20" spans="1:15" x14ac:dyDescent="0.2">
      <c r="A20" s="15">
        <v>19</v>
      </c>
      <c r="B20" s="3">
        <v>45419</v>
      </c>
      <c r="C20" s="4">
        <v>5.45</v>
      </c>
      <c r="D20" s="16">
        <f t="shared" si="0"/>
        <v>5.45E-2</v>
      </c>
      <c r="E20" s="17">
        <f t="shared" si="3"/>
        <v>0</v>
      </c>
      <c r="F20" s="18">
        <f t="shared" si="1"/>
        <v>0</v>
      </c>
      <c r="G20" s="19">
        <f t="shared" si="4"/>
        <v>1.7469264408242352E-5</v>
      </c>
      <c r="H20" s="20">
        <f t="shared" si="2"/>
        <v>-1.7469264408242352E-5</v>
      </c>
      <c r="I20" s="21">
        <f t="shared" si="5"/>
        <v>2194.6559005001559</v>
      </c>
      <c r="J20" s="22">
        <f t="shared" si="6"/>
        <v>7.6937805480723389</v>
      </c>
    </row>
    <row r="21" spans="1:15" x14ac:dyDescent="0.2">
      <c r="A21" s="15">
        <v>20</v>
      </c>
      <c r="B21" s="3">
        <v>45418</v>
      </c>
      <c r="C21" s="4">
        <v>5.45</v>
      </c>
      <c r="D21" s="16">
        <f t="shared" si="0"/>
        <v>5.45E-2</v>
      </c>
      <c r="E21" s="17">
        <f t="shared" si="3"/>
        <v>0</v>
      </c>
      <c r="F21" s="18">
        <f t="shared" si="1"/>
        <v>0</v>
      </c>
      <c r="G21" s="19">
        <f t="shared" si="4"/>
        <v>1.7469264408242352E-5</v>
      </c>
      <c r="H21" s="20">
        <f t="shared" si="2"/>
        <v>-1.7469264408242352E-5</v>
      </c>
      <c r="I21" s="21">
        <f t="shared" si="5"/>
        <v>2194.6559005001559</v>
      </c>
      <c r="J21" s="22">
        <f t="shared" si="6"/>
        <v>7.6937805480723389</v>
      </c>
    </row>
    <row r="22" spans="1:15" x14ac:dyDescent="0.2">
      <c r="A22" s="15">
        <v>21</v>
      </c>
      <c r="B22" s="3">
        <v>45415</v>
      </c>
      <c r="C22" s="4">
        <v>5.45</v>
      </c>
      <c r="D22" s="16">
        <f t="shared" si="0"/>
        <v>5.45E-2</v>
      </c>
      <c r="E22" s="17">
        <f t="shared" si="3"/>
        <v>-1.831501831501936E-3</v>
      </c>
      <c r="F22" s="18">
        <f t="shared" si="1"/>
        <v>-1.0000000000000286E-4</v>
      </c>
      <c r="G22" s="19">
        <f t="shared" si="4"/>
        <v>1.3072995693831865E-5</v>
      </c>
      <c r="H22" s="20">
        <f t="shared" si="2"/>
        <v>-1.1307299569383473E-4</v>
      </c>
      <c r="I22" s="21">
        <f t="shared" si="5"/>
        <v>1813.7748092411898</v>
      </c>
      <c r="J22" s="22">
        <f t="shared" si="6"/>
        <v>7.5031654825286616</v>
      </c>
    </row>
    <row r="23" spans="1:15" x14ac:dyDescent="0.2">
      <c r="A23" s="15">
        <v>22</v>
      </c>
      <c r="B23" s="3">
        <v>45414</v>
      </c>
      <c r="C23" s="4">
        <v>5.46</v>
      </c>
      <c r="D23" s="16">
        <f t="shared" si="0"/>
        <v>5.4600000000000003E-2</v>
      </c>
      <c r="E23" s="17">
        <f t="shared" si="3"/>
        <v>0</v>
      </c>
      <c r="F23" s="18">
        <f t="shared" si="1"/>
        <v>0</v>
      </c>
      <c r="G23" s="19">
        <f t="shared" si="4"/>
        <v>1.3072995693831865E-5</v>
      </c>
      <c r="H23" s="20">
        <f t="shared" si="2"/>
        <v>-1.3072995693831865E-5</v>
      </c>
      <c r="I23" s="21">
        <f t="shared" si="5"/>
        <v>2199.1612499925154</v>
      </c>
      <c r="J23" s="22">
        <f t="shared" si="6"/>
        <v>7.6958313166487455</v>
      </c>
    </row>
    <row r="24" spans="1:15" x14ac:dyDescent="0.2">
      <c r="A24" s="15">
        <v>23</v>
      </c>
      <c r="B24" s="3">
        <v>45413</v>
      </c>
      <c r="C24" s="4">
        <v>5.46</v>
      </c>
      <c r="D24" s="16">
        <f t="shared" si="0"/>
        <v>5.4600000000000003E-2</v>
      </c>
      <c r="E24" s="17">
        <f t="shared" si="3"/>
        <v>0</v>
      </c>
      <c r="F24" s="18">
        <f t="shared" si="1"/>
        <v>0</v>
      </c>
      <c r="G24" s="19">
        <f t="shared" si="4"/>
        <v>1.3072995693831865E-5</v>
      </c>
      <c r="H24" s="20">
        <f t="shared" si="2"/>
        <v>-1.3072995693831865E-5</v>
      </c>
      <c r="I24" s="21">
        <f t="shared" si="5"/>
        <v>2199.1612499925154</v>
      </c>
      <c r="J24" s="22">
        <f t="shared" si="6"/>
        <v>7.6958313166487455</v>
      </c>
    </row>
    <row r="25" spans="1:15" x14ac:dyDescent="0.2">
      <c r="A25" s="15">
        <v>24</v>
      </c>
      <c r="B25" s="3">
        <v>45412</v>
      </c>
      <c r="C25" s="4">
        <v>5.46</v>
      </c>
      <c r="D25" s="16">
        <f t="shared" si="0"/>
        <v>5.4600000000000003E-2</v>
      </c>
      <c r="E25" s="17">
        <f t="shared" si="3"/>
        <v>1.8348623853210455E-3</v>
      </c>
      <c r="F25" s="18">
        <f t="shared" si="1"/>
        <v>1.0000000000000286E-4</v>
      </c>
      <c r="G25" s="19">
        <f t="shared" si="4"/>
        <v>1.7469264408242352E-5</v>
      </c>
      <c r="H25" s="20">
        <f t="shared" si="2"/>
        <v>8.2530735591760515E-5</v>
      </c>
      <c r="I25" s="21">
        <f t="shared" si="5"/>
        <v>1987.0583025871106</v>
      </c>
      <c r="J25" s="22">
        <f t="shared" si="6"/>
        <v>7.5944105841380116</v>
      </c>
      <c r="O25" s="4"/>
    </row>
    <row r="26" spans="1:15" x14ac:dyDescent="0.2">
      <c r="A26" s="15">
        <v>25</v>
      </c>
      <c r="B26" s="3">
        <v>45411</v>
      </c>
      <c r="C26" s="4">
        <v>5.45</v>
      </c>
      <c r="D26" s="16">
        <f t="shared" si="0"/>
        <v>5.45E-2</v>
      </c>
      <c r="E26" s="17">
        <f t="shared" si="3"/>
        <v>-1.831501831501936E-3</v>
      </c>
      <c r="F26" s="18">
        <f t="shared" si="1"/>
        <v>-1.0000000000000286E-4</v>
      </c>
      <c r="G26" s="19">
        <f t="shared" si="4"/>
        <v>1.3072995693831865E-5</v>
      </c>
      <c r="H26" s="20">
        <f t="shared" si="2"/>
        <v>-1.1307299569383473E-4</v>
      </c>
      <c r="I26" s="21">
        <f t="shared" si="5"/>
        <v>1813.7748092411898</v>
      </c>
      <c r="J26" s="22">
        <f t="shared" si="6"/>
        <v>7.5031654825286616</v>
      </c>
      <c r="O26" s="4"/>
    </row>
    <row r="27" spans="1:15" x14ac:dyDescent="0.2">
      <c r="A27" s="15">
        <v>26</v>
      </c>
      <c r="B27" s="3">
        <v>45408</v>
      </c>
      <c r="C27" s="4">
        <v>5.46</v>
      </c>
      <c r="D27" s="16">
        <f t="shared" si="0"/>
        <v>5.4600000000000003E-2</v>
      </c>
      <c r="E27" s="17">
        <f t="shared" si="3"/>
        <v>-1.8281535648994041E-3</v>
      </c>
      <c r="F27" s="18">
        <f t="shared" si="1"/>
        <v>-9.9999999999995925E-5</v>
      </c>
      <c r="G27" s="19">
        <f t="shared" si="4"/>
        <v>8.6767269794216835E-6</v>
      </c>
      <c r="H27" s="20">
        <f t="shared" si="2"/>
        <v>-1.0867672697941761E-4</v>
      </c>
      <c r="I27" s="21">
        <f t="shared" si="5"/>
        <v>1840.9829676931183</v>
      </c>
      <c r="J27" s="22">
        <f t="shared" si="6"/>
        <v>7.5180549295298347</v>
      </c>
      <c r="O27" s="4"/>
    </row>
    <row r="28" spans="1:15" x14ac:dyDescent="0.2">
      <c r="A28" s="15">
        <v>27</v>
      </c>
      <c r="B28" s="3">
        <v>45407</v>
      </c>
      <c r="C28" s="4">
        <v>5.47</v>
      </c>
      <c r="D28" s="16">
        <f t="shared" si="0"/>
        <v>5.4699999999999999E-2</v>
      </c>
      <c r="E28" s="17">
        <f t="shared" si="3"/>
        <v>1.831501831501825E-3</v>
      </c>
      <c r="F28" s="18">
        <f t="shared" si="1"/>
        <v>9.9999999999995925E-5</v>
      </c>
      <c r="G28" s="19">
        <f t="shared" si="4"/>
        <v>1.3072995693831865E-5</v>
      </c>
      <c r="H28" s="20">
        <f t="shared" si="2"/>
        <v>8.6927004306164057E-5</v>
      </c>
      <c r="I28" s="21">
        <f t="shared" si="5"/>
        <v>1964.5771236824423</v>
      </c>
      <c r="J28" s="22">
        <f t="shared" si="6"/>
        <v>7.583032296910754</v>
      </c>
      <c r="O28" s="4"/>
    </row>
    <row r="29" spans="1:15" x14ac:dyDescent="0.2">
      <c r="A29" s="15">
        <v>28</v>
      </c>
      <c r="B29" s="3">
        <v>45406</v>
      </c>
      <c r="C29" s="4">
        <v>5.46</v>
      </c>
      <c r="D29" s="16">
        <f t="shared" si="0"/>
        <v>5.4600000000000003E-2</v>
      </c>
      <c r="E29" s="17">
        <f t="shared" si="3"/>
        <v>1.8348623853210455E-3</v>
      </c>
      <c r="F29" s="18">
        <f t="shared" si="1"/>
        <v>1.0000000000000286E-4</v>
      </c>
      <c r="G29" s="19">
        <f t="shared" si="4"/>
        <v>1.7469264408242352E-5</v>
      </c>
      <c r="H29" s="20">
        <f t="shared" si="2"/>
        <v>8.2530735591760515E-5</v>
      </c>
      <c r="I29" s="21">
        <f t="shared" si="5"/>
        <v>1987.0583025871106</v>
      </c>
      <c r="J29" s="22">
        <f t="shared" si="6"/>
        <v>7.5944105841380116</v>
      </c>
      <c r="O29" s="4"/>
    </row>
    <row r="30" spans="1:15" x14ac:dyDescent="0.2">
      <c r="A30" s="15">
        <v>29</v>
      </c>
      <c r="B30" s="3">
        <v>45405</v>
      </c>
      <c r="C30" s="4">
        <v>5.45</v>
      </c>
      <c r="D30" s="16">
        <f t="shared" si="0"/>
        <v>5.45E-2</v>
      </c>
      <c r="E30" s="17">
        <f t="shared" si="3"/>
        <v>5.5350553505535416E-3</v>
      </c>
      <c r="F30" s="18">
        <f t="shared" si="1"/>
        <v>3.0000000000000165E-4</v>
      </c>
      <c r="G30" s="19">
        <f t="shared" si="4"/>
        <v>3.0658070551473508E-5</v>
      </c>
      <c r="H30" s="20">
        <f t="shared" si="2"/>
        <v>2.6934192944852816E-4</v>
      </c>
      <c r="I30" s="21">
        <f t="shared" si="5"/>
        <v>728.10336785236746</v>
      </c>
      <c r="J30" s="22">
        <f t="shared" si="6"/>
        <v>6.5904430269254259</v>
      </c>
      <c r="O30" s="4"/>
    </row>
    <row r="31" spans="1:15" x14ac:dyDescent="0.2">
      <c r="A31" s="15">
        <v>30</v>
      </c>
      <c r="B31" s="3">
        <v>45404</v>
      </c>
      <c r="C31" s="4">
        <v>5.42</v>
      </c>
      <c r="D31" s="16">
        <f t="shared" si="0"/>
        <v>5.4199999999999998E-2</v>
      </c>
      <c r="E31" s="17">
        <f t="shared" si="3"/>
        <v>-5.5045871559633586E-3</v>
      </c>
      <c r="F31" s="18">
        <f t="shared" si="1"/>
        <v>-3.0000000000000165E-4</v>
      </c>
      <c r="G31" s="19">
        <f t="shared" si="4"/>
        <v>1.7469264408242352E-5</v>
      </c>
      <c r="H31" s="20">
        <f t="shared" si="2"/>
        <v>-3.1746926440824402E-4</v>
      </c>
      <c r="I31" s="21">
        <f t="shared" si="5"/>
        <v>473.00280406341426</v>
      </c>
      <c r="J31" s="22">
        <f t="shared" si="6"/>
        <v>6.1591013167268223</v>
      </c>
      <c r="O31" s="4"/>
    </row>
    <row r="32" spans="1:15" x14ac:dyDescent="0.2">
      <c r="A32" s="15">
        <v>31</v>
      </c>
      <c r="B32" s="3">
        <v>45401</v>
      </c>
      <c r="C32" s="4">
        <v>5.45</v>
      </c>
      <c r="D32" s="16">
        <f t="shared" si="0"/>
        <v>5.45E-2</v>
      </c>
      <c r="E32" s="17">
        <f t="shared" si="3"/>
        <v>-1.831501831501936E-3</v>
      </c>
      <c r="F32" s="18">
        <f t="shared" si="1"/>
        <v>-1.0000000000000286E-4</v>
      </c>
      <c r="G32" s="19">
        <f t="shared" si="4"/>
        <v>1.3072995693831865E-5</v>
      </c>
      <c r="H32" s="20">
        <f t="shared" si="2"/>
        <v>-1.1307299569383473E-4</v>
      </c>
      <c r="I32" s="21">
        <f t="shared" si="5"/>
        <v>1813.7748092411898</v>
      </c>
      <c r="J32" s="22">
        <f t="shared" si="6"/>
        <v>7.5031654825286616</v>
      </c>
      <c r="O32" s="4"/>
    </row>
    <row r="33" spans="1:15" x14ac:dyDescent="0.2">
      <c r="A33" s="15">
        <v>32</v>
      </c>
      <c r="B33" s="3">
        <v>45400</v>
      </c>
      <c r="C33" s="4">
        <v>5.46</v>
      </c>
      <c r="D33" s="16">
        <f t="shared" si="0"/>
        <v>5.4600000000000003E-2</v>
      </c>
      <c r="E33" s="17">
        <f t="shared" si="3"/>
        <v>1.8348623853210455E-3</v>
      </c>
      <c r="F33" s="18">
        <f t="shared" si="1"/>
        <v>1.0000000000000286E-4</v>
      </c>
      <c r="G33" s="19">
        <f t="shared" si="4"/>
        <v>1.7469264408242352E-5</v>
      </c>
      <c r="H33" s="20">
        <f t="shared" si="2"/>
        <v>8.2530735591760515E-5</v>
      </c>
      <c r="I33" s="21">
        <f t="shared" si="5"/>
        <v>1987.0583025871106</v>
      </c>
      <c r="J33" s="22">
        <f t="shared" si="6"/>
        <v>7.5944105841380116</v>
      </c>
      <c r="O33" s="4"/>
    </row>
    <row r="34" spans="1:15" x14ac:dyDescent="0.2">
      <c r="A34" s="15">
        <v>33</v>
      </c>
      <c r="B34" s="3">
        <v>45399</v>
      </c>
      <c r="C34" s="4">
        <v>5.45</v>
      </c>
      <c r="D34" s="16">
        <f t="shared" si="0"/>
        <v>5.45E-2</v>
      </c>
      <c r="E34" s="17">
        <f t="shared" si="3"/>
        <v>0</v>
      </c>
      <c r="F34" s="18">
        <f t="shared" si="1"/>
        <v>0</v>
      </c>
      <c r="G34" s="19">
        <f t="shared" si="4"/>
        <v>1.7469264408242352E-5</v>
      </c>
      <c r="H34" s="20">
        <f t="shared" si="2"/>
        <v>-1.7469264408242352E-5</v>
      </c>
      <c r="I34" s="21">
        <f t="shared" si="5"/>
        <v>2194.6559005001559</v>
      </c>
      <c r="J34" s="22">
        <f t="shared" si="6"/>
        <v>7.6937805480723389</v>
      </c>
      <c r="O34" s="4"/>
    </row>
    <row r="35" spans="1:15" x14ac:dyDescent="0.2">
      <c r="A35" s="15">
        <v>34</v>
      </c>
      <c r="B35" s="3">
        <v>45398</v>
      </c>
      <c r="C35" s="4">
        <v>5.45</v>
      </c>
      <c r="D35" s="16">
        <f t="shared" si="0"/>
        <v>5.45E-2</v>
      </c>
      <c r="E35" s="17">
        <f t="shared" si="3"/>
        <v>0</v>
      </c>
      <c r="F35" s="18">
        <f t="shared" si="1"/>
        <v>0</v>
      </c>
      <c r="G35" s="19">
        <f t="shared" si="4"/>
        <v>1.7469264408242352E-5</v>
      </c>
      <c r="H35" s="20">
        <f t="shared" si="2"/>
        <v>-1.7469264408242352E-5</v>
      </c>
      <c r="I35" s="21">
        <f t="shared" si="5"/>
        <v>2194.6559005001559</v>
      </c>
      <c r="J35" s="22">
        <f t="shared" si="6"/>
        <v>7.6937805480723389</v>
      </c>
      <c r="O35" s="4"/>
    </row>
    <row r="36" spans="1:15" x14ac:dyDescent="0.2">
      <c r="A36" s="15">
        <v>35</v>
      </c>
      <c r="B36" s="3">
        <v>45397</v>
      </c>
      <c r="C36" s="4">
        <v>5.45</v>
      </c>
      <c r="D36" s="16">
        <f t="shared" si="0"/>
        <v>5.45E-2</v>
      </c>
      <c r="E36" s="17">
        <f t="shared" si="3"/>
        <v>0</v>
      </c>
      <c r="F36" s="18">
        <f t="shared" si="1"/>
        <v>0</v>
      </c>
      <c r="G36" s="19">
        <f t="shared" si="4"/>
        <v>1.7469264408242352E-5</v>
      </c>
      <c r="H36" s="20">
        <f t="shared" si="2"/>
        <v>-1.7469264408242352E-5</v>
      </c>
      <c r="I36" s="21">
        <f t="shared" si="5"/>
        <v>2194.6559005001559</v>
      </c>
      <c r="J36" s="22">
        <f t="shared" si="6"/>
        <v>7.6937805480723389</v>
      </c>
      <c r="O36" s="4"/>
    </row>
    <row r="37" spans="1:15" x14ac:dyDescent="0.2">
      <c r="A37" s="15">
        <v>36</v>
      </c>
      <c r="B37" s="3">
        <v>45394</v>
      </c>
      <c r="C37" s="4">
        <v>5.45</v>
      </c>
      <c r="D37" s="16">
        <f t="shared" si="0"/>
        <v>5.45E-2</v>
      </c>
      <c r="E37" s="17">
        <f t="shared" si="3"/>
        <v>0</v>
      </c>
      <c r="F37" s="18">
        <f t="shared" si="1"/>
        <v>0</v>
      </c>
      <c r="G37" s="19">
        <f t="shared" si="4"/>
        <v>1.7469264408242352E-5</v>
      </c>
      <c r="H37" s="20">
        <f t="shared" si="2"/>
        <v>-1.7469264408242352E-5</v>
      </c>
      <c r="I37" s="21">
        <f t="shared" si="5"/>
        <v>2194.6559005001559</v>
      </c>
      <c r="J37" s="22">
        <f t="shared" si="6"/>
        <v>7.6937805480723389</v>
      </c>
      <c r="O37" s="4"/>
    </row>
    <row r="38" spans="1:15" x14ac:dyDescent="0.2">
      <c r="A38" s="15">
        <v>37</v>
      </c>
      <c r="B38" s="3">
        <v>45393</v>
      </c>
      <c r="C38" s="4">
        <v>5.45</v>
      </c>
      <c r="D38" s="16">
        <f t="shared" si="0"/>
        <v>5.45E-2</v>
      </c>
      <c r="E38" s="17">
        <f t="shared" si="3"/>
        <v>0</v>
      </c>
      <c r="F38" s="18">
        <f t="shared" si="1"/>
        <v>0</v>
      </c>
      <c r="G38" s="19">
        <f t="shared" si="4"/>
        <v>1.7469264408242352E-5</v>
      </c>
      <c r="H38" s="20">
        <f t="shared" si="2"/>
        <v>-1.7469264408242352E-5</v>
      </c>
      <c r="I38" s="21">
        <f t="shared" si="5"/>
        <v>2194.6559005001559</v>
      </c>
      <c r="J38" s="22">
        <f t="shared" si="6"/>
        <v>7.6937805480723389</v>
      </c>
      <c r="O38" s="4"/>
    </row>
    <row r="39" spans="1:15" x14ac:dyDescent="0.2">
      <c r="A39" s="15">
        <v>38</v>
      </c>
      <c r="B39" s="3">
        <v>45392</v>
      </c>
      <c r="C39" s="4">
        <v>5.45</v>
      </c>
      <c r="D39" s="16">
        <f t="shared" si="0"/>
        <v>5.45E-2</v>
      </c>
      <c r="E39" s="17">
        <f t="shared" si="3"/>
        <v>3.6832412523022384E-3</v>
      </c>
      <c r="F39" s="18">
        <f t="shared" si="1"/>
        <v>2.0000000000000573E-4</v>
      </c>
      <c r="G39" s="19">
        <f t="shared" si="4"/>
        <v>2.6261801837063325E-5</v>
      </c>
      <c r="H39" s="20">
        <f t="shared" si="2"/>
        <v>1.737381981629424E-4</v>
      </c>
      <c r="I39" s="21">
        <f t="shared" si="5"/>
        <v>1390.5008990929666</v>
      </c>
      <c r="J39" s="22">
        <f t="shared" si="6"/>
        <v>7.2374193202706945</v>
      </c>
      <c r="O39" s="4"/>
    </row>
    <row r="40" spans="1:15" x14ac:dyDescent="0.2">
      <c r="A40" s="15">
        <v>39</v>
      </c>
      <c r="B40" s="3">
        <v>45391</v>
      </c>
      <c r="C40" s="4">
        <v>5.43</v>
      </c>
      <c r="D40" s="16">
        <f t="shared" si="0"/>
        <v>5.4299999999999994E-2</v>
      </c>
      <c r="E40" s="17">
        <f t="shared" si="3"/>
        <v>0</v>
      </c>
      <c r="F40" s="18">
        <f t="shared" si="1"/>
        <v>0</v>
      </c>
      <c r="G40" s="19">
        <f t="shared" si="4"/>
        <v>2.6261801837063325E-5</v>
      </c>
      <c r="H40" s="20">
        <f t="shared" si="2"/>
        <v>-2.6261801837063325E-5</v>
      </c>
      <c r="I40" s="21">
        <f t="shared" si="5"/>
        <v>2181.8051831318112</v>
      </c>
      <c r="J40" s="22">
        <f t="shared" si="6"/>
        <v>7.6879078787827115</v>
      </c>
      <c r="O40" s="4"/>
    </row>
    <row r="41" spans="1:15" x14ac:dyDescent="0.2">
      <c r="A41" s="15">
        <v>40</v>
      </c>
      <c r="B41" s="3">
        <v>45390</v>
      </c>
      <c r="C41" s="4">
        <v>5.43</v>
      </c>
      <c r="D41" s="16">
        <f t="shared" si="0"/>
        <v>5.4299999999999994E-2</v>
      </c>
      <c r="E41" s="17">
        <f t="shared" si="3"/>
        <v>0</v>
      </c>
      <c r="F41" s="18">
        <f t="shared" si="1"/>
        <v>0</v>
      </c>
      <c r="G41" s="19">
        <f t="shared" si="4"/>
        <v>2.6261801837063325E-5</v>
      </c>
      <c r="H41" s="20">
        <f t="shared" si="2"/>
        <v>-2.6261801837063325E-5</v>
      </c>
      <c r="I41" s="21">
        <f t="shared" si="5"/>
        <v>2181.8051831318112</v>
      </c>
      <c r="J41" s="22">
        <f t="shared" si="6"/>
        <v>7.6879078787827115</v>
      </c>
      <c r="O41" s="4"/>
    </row>
    <row r="42" spans="1:15" x14ac:dyDescent="0.2">
      <c r="A42" s="15">
        <v>41</v>
      </c>
      <c r="B42" s="3">
        <v>45387</v>
      </c>
      <c r="C42" s="4">
        <v>5.43</v>
      </c>
      <c r="D42" s="16">
        <f t="shared" si="0"/>
        <v>5.4299999999999994E-2</v>
      </c>
      <c r="E42" s="17">
        <f t="shared" si="3"/>
        <v>3.696857670979492E-3</v>
      </c>
      <c r="F42" s="18">
        <f t="shared" si="1"/>
        <v>1.9999999999999185E-4</v>
      </c>
      <c r="G42" s="19">
        <f t="shared" si="4"/>
        <v>3.505433926588369E-5</v>
      </c>
      <c r="H42" s="20">
        <f t="shared" si="2"/>
        <v>1.6494566073410816E-4</v>
      </c>
      <c r="I42" s="21">
        <f t="shared" si="5"/>
        <v>1455.2039835808187</v>
      </c>
      <c r="J42" s="22">
        <f t="shared" si="6"/>
        <v>7.2829013646801126</v>
      </c>
      <c r="O42" s="4"/>
    </row>
    <row r="43" spans="1:15" x14ac:dyDescent="0.2">
      <c r="A43" s="15">
        <v>42</v>
      </c>
      <c r="B43" s="3">
        <v>45386</v>
      </c>
      <c r="C43" s="4">
        <v>5.41</v>
      </c>
      <c r="D43" s="16">
        <f t="shared" si="0"/>
        <v>5.4100000000000002E-2</v>
      </c>
      <c r="E43" s="17">
        <f t="shared" si="3"/>
        <v>-1.8450184501844769E-3</v>
      </c>
      <c r="F43" s="18">
        <f t="shared" si="1"/>
        <v>-9.9999999999995925E-5</v>
      </c>
      <c r="G43" s="19">
        <f t="shared" si="4"/>
        <v>3.0658070551473508E-5</v>
      </c>
      <c r="H43" s="20">
        <f t="shared" si="2"/>
        <v>-1.3065807055146942E-4</v>
      </c>
      <c r="I43" s="21">
        <f t="shared" si="5"/>
        <v>1698.8450566732461</v>
      </c>
      <c r="J43" s="22">
        <f t="shared" si="6"/>
        <v>7.4377039207347044</v>
      </c>
      <c r="O43" s="4"/>
    </row>
    <row r="44" spans="1:15" x14ac:dyDescent="0.2">
      <c r="A44" s="15">
        <v>43</v>
      </c>
      <c r="B44" s="3">
        <v>45385</v>
      </c>
      <c r="C44" s="4">
        <v>5.42</v>
      </c>
      <c r="D44" s="16">
        <f t="shared" si="0"/>
        <v>5.4199999999999998E-2</v>
      </c>
      <c r="E44" s="17">
        <f t="shared" si="3"/>
        <v>0</v>
      </c>
      <c r="F44" s="18">
        <f t="shared" si="1"/>
        <v>0</v>
      </c>
      <c r="G44" s="19">
        <f t="shared" si="4"/>
        <v>3.0658070551473508E-5</v>
      </c>
      <c r="H44" s="20">
        <f t="shared" si="2"/>
        <v>-3.0658070551473508E-5</v>
      </c>
      <c r="I44" s="21">
        <f t="shared" si="5"/>
        <v>2173.4824547977564</v>
      </c>
      <c r="J44" s="22">
        <f t="shared" si="6"/>
        <v>7.6840859780694908</v>
      </c>
      <c r="O44" s="4"/>
    </row>
    <row r="45" spans="1:15" x14ac:dyDescent="0.2">
      <c r="A45" s="15">
        <v>44</v>
      </c>
      <c r="B45" s="3">
        <v>45384</v>
      </c>
      <c r="C45" s="4">
        <v>5.42</v>
      </c>
      <c r="D45" s="16">
        <f t="shared" si="0"/>
        <v>5.4199999999999998E-2</v>
      </c>
      <c r="E45" s="17">
        <f t="shared" si="3"/>
        <v>-3.6764705882353921E-3</v>
      </c>
      <c r="F45" s="18">
        <f t="shared" si="1"/>
        <v>-2.0000000000000573E-4</v>
      </c>
      <c r="G45" s="19">
        <f t="shared" si="4"/>
        <v>2.1865533122652535E-5</v>
      </c>
      <c r="H45" s="20">
        <f t="shared" si="2"/>
        <v>-2.2186553312265826E-4</v>
      </c>
      <c r="I45" s="21">
        <f t="shared" si="5"/>
        <v>1039.6367547062291</v>
      </c>
      <c r="J45" s="22">
        <f t="shared" si="6"/>
        <v>6.9466266568040025</v>
      </c>
      <c r="O45" s="4"/>
    </row>
    <row r="46" spans="1:15" x14ac:dyDescent="0.2">
      <c r="A46" s="15">
        <v>45</v>
      </c>
      <c r="B46" s="3">
        <v>45383</v>
      </c>
      <c r="C46" s="4">
        <v>5.44</v>
      </c>
      <c r="D46" s="16">
        <f t="shared" si="0"/>
        <v>5.4400000000000004E-2</v>
      </c>
      <c r="E46" s="17">
        <f t="shared" si="3"/>
        <v>-3.66300366300365E-3</v>
      </c>
      <c r="F46" s="18">
        <f t="shared" si="1"/>
        <v>-1.9999999999999879E-4</v>
      </c>
      <c r="G46" s="19">
        <f t="shared" si="4"/>
        <v>1.3072995693831865E-5</v>
      </c>
      <c r="H46" s="20">
        <f t="shared" si="2"/>
        <v>-2.1307299569383066E-4</v>
      </c>
      <c r="I46" s="21">
        <f t="shared" si="5"/>
        <v>1102.1684037972398</v>
      </c>
      <c r="J46" s="22">
        <f t="shared" si="6"/>
        <v>7.0050347945505278</v>
      </c>
      <c r="O46" s="4"/>
    </row>
    <row r="47" spans="1:15" x14ac:dyDescent="0.2">
      <c r="A47" s="15">
        <v>46</v>
      </c>
      <c r="B47" s="3">
        <v>45379</v>
      </c>
      <c r="C47" s="4">
        <v>5.46</v>
      </c>
      <c r="D47" s="16">
        <f t="shared" si="0"/>
        <v>5.4600000000000003E-2</v>
      </c>
      <c r="E47" s="17">
        <f t="shared" si="3"/>
        <v>1.8348623853210455E-3</v>
      </c>
      <c r="F47" s="18">
        <f t="shared" si="1"/>
        <v>1.0000000000000286E-4</v>
      </c>
      <c r="G47" s="19">
        <f t="shared" si="4"/>
        <v>1.7469264408242352E-5</v>
      </c>
      <c r="H47" s="20">
        <f t="shared" si="2"/>
        <v>8.2530735591760515E-5</v>
      </c>
      <c r="I47" s="21">
        <f t="shared" si="5"/>
        <v>1987.0583025871106</v>
      </c>
      <c r="J47" s="22">
        <f t="shared" si="6"/>
        <v>7.5944105841380116</v>
      </c>
      <c r="O47" s="4"/>
    </row>
    <row r="48" spans="1:15" x14ac:dyDescent="0.2">
      <c r="A48" s="15">
        <v>47</v>
      </c>
      <c r="B48" s="3">
        <v>45378</v>
      </c>
      <c r="C48" s="4">
        <v>5.45</v>
      </c>
      <c r="D48" s="16">
        <f t="shared" si="0"/>
        <v>5.45E-2</v>
      </c>
      <c r="E48" s="17">
        <f t="shared" si="3"/>
        <v>-1.831501831501936E-3</v>
      </c>
      <c r="F48" s="18">
        <f t="shared" si="1"/>
        <v>-1.0000000000000286E-4</v>
      </c>
      <c r="G48" s="19">
        <f t="shared" si="4"/>
        <v>1.3072995693831865E-5</v>
      </c>
      <c r="H48" s="20">
        <f t="shared" si="2"/>
        <v>-1.1307299569383473E-4</v>
      </c>
      <c r="I48" s="21">
        <f t="shared" si="5"/>
        <v>1813.7748092411898</v>
      </c>
      <c r="J48" s="22">
        <f t="shared" si="6"/>
        <v>7.5031654825286616</v>
      </c>
      <c r="O48" s="4"/>
    </row>
    <row r="49" spans="1:15" x14ac:dyDescent="0.2">
      <c r="A49" s="15">
        <v>48</v>
      </c>
      <c r="B49" s="3">
        <v>45377</v>
      </c>
      <c r="C49" s="4">
        <v>5.46</v>
      </c>
      <c r="D49" s="16">
        <f t="shared" si="0"/>
        <v>5.4600000000000003E-2</v>
      </c>
      <c r="E49" s="17">
        <f t="shared" si="3"/>
        <v>0</v>
      </c>
      <c r="F49" s="18">
        <f t="shared" si="1"/>
        <v>0</v>
      </c>
      <c r="G49" s="19">
        <f t="shared" si="4"/>
        <v>1.3072995693831865E-5</v>
      </c>
      <c r="H49" s="20">
        <f t="shared" si="2"/>
        <v>-1.3072995693831865E-5</v>
      </c>
      <c r="I49" s="21">
        <f t="shared" si="5"/>
        <v>2199.1612499925154</v>
      </c>
      <c r="J49" s="22">
        <f t="shared" si="6"/>
        <v>7.6958313166487455</v>
      </c>
      <c r="O49" s="4"/>
    </row>
    <row r="50" spans="1:15" x14ac:dyDescent="0.2">
      <c r="A50" s="15">
        <v>49</v>
      </c>
      <c r="B50" s="3">
        <v>45376</v>
      </c>
      <c r="C50" s="4">
        <v>5.46</v>
      </c>
      <c r="D50" s="16">
        <f t="shared" si="0"/>
        <v>5.4600000000000003E-2</v>
      </c>
      <c r="E50" s="17">
        <f t="shared" si="3"/>
        <v>0</v>
      </c>
      <c r="F50" s="18">
        <f t="shared" si="1"/>
        <v>0</v>
      </c>
      <c r="G50" s="19">
        <f t="shared" si="4"/>
        <v>1.3072995693831865E-5</v>
      </c>
      <c r="H50" s="20">
        <f t="shared" si="2"/>
        <v>-1.3072995693831865E-5</v>
      </c>
      <c r="I50" s="21">
        <f t="shared" si="5"/>
        <v>2199.1612499925154</v>
      </c>
      <c r="J50" s="22">
        <f t="shared" si="6"/>
        <v>7.6958313166487455</v>
      </c>
      <c r="O50" s="4"/>
    </row>
    <row r="51" spans="1:15" x14ac:dyDescent="0.2">
      <c r="A51" s="15">
        <v>50</v>
      </c>
      <c r="B51" s="3">
        <v>45373</v>
      </c>
      <c r="C51" s="4">
        <v>5.46</v>
      </c>
      <c r="D51" s="16">
        <f t="shared" si="0"/>
        <v>5.4600000000000003E-2</v>
      </c>
      <c r="E51" s="17">
        <f t="shared" si="3"/>
        <v>-3.6496350364962904E-3</v>
      </c>
      <c r="F51" s="18">
        <f t="shared" si="1"/>
        <v>-1.9999999999999879E-4</v>
      </c>
      <c r="G51" s="19">
        <f t="shared" si="4"/>
        <v>4.2804582650111966E-6</v>
      </c>
      <c r="H51" s="20">
        <f t="shared" si="2"/>
        <v>-2.0428045826500999E-4</v>
      </c>
      <c r="I51" s="21">
        <f t="shared" si="5"/>
        <v>1165.7051044429945</v>
      </c>
      <c r="J51" s="22">
        <f t="shared" si="6"/>
        <v>7.0610814227812542</v>
      </c>
      <c r="O51" s="4"/>
    </row>
    <row r="52" spans="1:15" x14ac:dyDescent="0.2">
      <c r="A52" s="15">
        <v>51</v>
      </c>
      <c r="B52" s="3">
        <v>45372</v>
      </c>
      <c r="C52" s="4">
        <v>5.48</v>
      </c>
      <c r="D52" s="16">
        <f t="shared" si="0"/>
        <v>5.4800000000000001E-2</v>
      </c>
      <c r="E52" s="17">
        <f t="shared" si="3"/>
        <v>1.8281535648994041E-3</v>
      </c>
      <c r="F52" s="18">
        <f t="shared" si="1"/>
        <v>1.0000000000000286E-4</v>
      </c>
      <c r="G52" s="19">
        <f t="shared" si="4"/>
        <v>8.6767269794216835E-6</v>
      </c>
      <c r="H52" s="20">
        <f t="shared" si="2"/>
        <v>9.1323273020581179E-5</v>
      </c>
      <c r="I52" s="21">
        <f t="shared" si="5"/>
        <v>1941.2039110821836</v>
      </c>
      <c r="J52" s="22">
        <f t="shared" si="6"/>
        <v>7.5710636323045231</v>
      </c>
      <c r="O52" s="4"/>
    </row>
    <row r="53" spans="1:15" x14ac:dyDescent="0.2">
      <c r="A53" s="15">
        <v>52</v>
      </c>
      <c r="B53" s="3">
        <v>45371</v>
      </c>
      <c r="C53" s="4">
        <v>5.47</v>
      </c>
      <c r="D53" s="16">
        <f t="shared" si="0"/>
        <v>5.4699999999999999E-2</v>
      </c>
      <c r="E53" s="17">
        <f t="shared" si="3"/>
        <v>-1.8248175182482562E-3</v>
      </c>
      <c r="F53" s="18">
        <f t="shared" si="1"/>
        <v>-1.0000000000000286E-4</v>
      </c>
      <c r="G53" s="19">
        <f t="shared" si="4"/>
        <v>4.2804582650111966E-6</v>
      </c>
      <c r="H53" s="20">
        <f t="shared" si="2"/>
        <v>-1.0428045826501405E-4</v>
      </c>
      <c r="I53" s="21">
        <f t="shared" si="5"/>
        <v>1867.4964184093203</v>
      </c>
      <c r="J53" s="22">
        <f t="shared" si="6"/>
        <v>7.5323539991520247</v>
      </c>
      <c r="O53" s="4"/>
    </row>
    <row r="54" spans="1:15" x14ac:dyDescent="0.2">
      <c r="A54" s="15">
        <v>53</v>
      </c>
      <c r="B54" s="3">
        <v>45370</v>
      </c>
      <c r="C54" s="4">
        <v>5.48</v>
      </c>
      <c r="D54" s="16">
        <f t="shared" si="0"/>
        <v>5.4800000000000001E-2</v>
      </c>
      <c r="E54" s="17">
        <f t="shared" si="3"/>
        <v>0</v>
      </c>
      <c r="F54" s="18">
        <f t="shared" si="1"/>
        <v>0</v>
      </c>
      <c r="G54" s="19">
        <f t="shared" si="4"/>
        <v>4.2804582650111966E-6</v>
      </c>
      <c r="H54" s="20">
        <f t="shared" si="2"/>
        <v>-4.2804582650111966E-6</v>
      </c>
      <c r="I54" s="21">
        <f t="shared" si="5"/>
        <v>2204.2921626306893</v>
      </c>
      <c r="J54" s="22">
        <f t="shared" si="6"/>
        <v>7.6981617216647447</v>
      </c>
      <c r="O54" s="4"/>
    </row>
    <row r="55" spans="1:15" x14ac:dyDescent="0.2">
      <c r="A55" s="15">
        <v>54</v>
      </c>
      <c r="B55" s="3">
        <v>45369</v>
      </c>
      <c r="C55" s="4">
        <v>5.48</v>
      </c>
      <c r="D55" s="16">
        <f t="shared" si="0"/>
        <v>5.4800000000000001E-2</v>
      </c>
      <c r="E55" s="17">
        <f t="shared" si="3"/>
        <v>0</v>
      </c>
      <c r="F55" s="18">
        <f t="shared" si="1"/>
        <v>0</v>
      </c>
      <c r="G55" s="19">
        <f t="shared" si="4"/>
        <v>4.2804582650111966E-6</v>
      </c>
      <c r="H55" s="20">
        <f t="shared" si="2"/>
        <v>-4.2804582650111966E-6</v>
      </c>
      <c r="I55" s="21">
        <f t="shared" si="5"/>
        <v>2204.2921626306893</v>
      </c>
      <c r="J55" s="22">
        <f t="shared" si="6"/>
        <v>7.6981617216647447</v>
      </c>
      <c r="O55" s="4"/>
    </row>
    <row r="56" spans="1:15" x14ac:dyDescent="0.2">
      <c r="A56" s="15">
        <v>55</v>
      </c>
      <c r="B56" s="3">
        <v>45366</v>
      </c>
      <c r="C56" s="4">
        <v>5.48</v>
      </c>
      <c r="D56" s="16">
        <f t="shared" si="0"/>
        <v>5.4800000000000001E-2</v>
      </c>
      <c r="E56" s="17">
        <f t="shared" si="3"/>
        <v>0</v>
      </c>
      <c r="F56" s="18">
        <f t="shared" si="1"/>
        <v>0</v>
      </c>
      <c r="G56" s="19">
        <f t="shared" si="4"/>
        <v>4.2804582650111966E-6</v>
      </c>
      <c r="H56" s="20">
        <f t="shared" si="2"/>
        <v>-4.2804582650111966E-6</v>
      </c>
      <c r="I56" s="21">
        <f t="shared" si="5"/>
        <v>2204.2921626306893</v>
      </c>
      <c r="J56" s="22">
        <f t="shared" si="6"/>
        <v>7.6981617216647447</v>
      </c>
      <c r="O56" s="4"/>
    </row>
    <row r="57" spans="1:15" x14ac:dyDescent="0.2">
      <c r="A57" s="15">
        <v>56</v>
      </c>
      <c r="B57" s="3">
        <v>45365</v>
      </c>
      <c r="C57" s="4">
        <v>5.48</v>
      </c>
      <c r="D57" s="16">
        <f t="shared" si="0"/>
        <v>5.4800000000000001E-2</v>
      </c>
      <c r="E57" s="17">
        <f t="shared" si="3"/>
        <v>0</v>
      </c>
      <c r="F57" s="18">
        <f t="shared" si="1"/>
        <v>0</v>
      </c>
      <c r="G57" s="19">
        <f t="shared" si="4"/>
        <v>4.2804582650111966E-6</v>
      </c>
      <c r="H57" s="20">
        <f t="shared" si="2"/>
        <v>-4.2804582650111966E-6</v>
      </c>
      <c r="I57" s="21">
        <f t="shared" si="5"/>
        <v>2204.2921626306893</v>
      </c>
      <c r="J57" s="22">
        <f t="shared" si="6"/>
        <v>7.6981617216647447</v>
      </c>
      <c r="O57" s="4"/>
    </row>
    <row r="58" spans="1:15" x14ac:dyDescent="0.2">
      <c r="A58" s="15">
        <v>57</v>
      </c>
      <c r="B58" s="3">
        <v>45364</v>
      </c>
      <c r="C58" s="4">
        <v>5.48</v>
      </c>
      <c r="D58" s="16">
        <f t="shared" si="0"/>
        <v>5.4800000000000001E-2</v>
      </c>
      <c r="E58" s="17">
        <f t="shared" si="3"/>
        <v>0</v>
      </c>
      <c r="F58" s="18">
        <f t="shared" si="1"/>
        <v>0</v>
      </c>
      <c r="G58" s="19">
        <f t="shared" si="4"/>
        <v>4.2804582650111966E-6</v>
      </c>
      <c r="H58" s="20">
        <f t="shared" si="2"/>
        <v>-4.2804582650111966E-6</v>
      </c>
      <c r="I58" s="21">
        <f t="shared" si="5"/>
        <v>2204.2921626306893</v>
      </c>
      <c r="J58" s="22">
        <f t="shared" si="6"/>
        <v>7.6981617216647447</v>
      </c>
      <c r="O58" s="4"/>
    </row>
    <row r="59" spans="1:15" x14ac:dyDescent="0.2">
      <c r="A59" s="15">
        <v>58</v>
      </c>
      <c r="B59" s="3">
        <v>45363</v>
      </c>
      <c r="C59" s="4">
        <v>5.48</v>
      </c>
      <c r="D59" s="16">
        <f t="shared" si="0"/>
        <v>5.4800000000000001E-2</v>
      </c>
      <c r="E59" s="17">
        <f t="shared" si="3"/>
        <v>0</v>
      </c>
      <c r="F59" s="18">
        <f t="shared" si="1"/>
        <v>0</v>
      </c>
      <c r="G59" s="19">
        <f t="shared" si="4"/>
        <v>4.2804582650111966E-6</v>
      </c>
      <c r="H59" s="20">
        <f t="shared" si="2"/>
        <v>-4.2804582650111966E-6</v>
      </c>
      <c r="I59" s="21">
        <f t="shared" si="5"/>
        <v>2204.2921626306893</v>
      </c>
      <c r="J59" s="22">
        <f t="shared" si="6"/>
        <v>7.6981617216647447</v>
      </c>
      <c r="O59" s="4"/>
    </row>
    <row r="60" spans="1:15" x14ac:dyDescent="0.2">
      <c r="A60" s="15">
        <v>59</v>
      </c>
      <c r="B60" s="3">
        <v>45362</v>
      </c>
      <c r="C60" s="4">
        <v>5.48</v>
      </c>
      <c r="D60" s="16">
        <f t="shared" si="0"/>
        <v>5.4800000000000001E-2</v>
      </c>
      <c r="E60" s="17">
        <f t="shared" si="3"/>
        <v>3.66300366300365E-3</v>
      </c>
      <c r="F60" s="18">
        <f t="shared" si="1"/>
        <v>1.9999999999999879E-4</v>
      </c>
      <c r="G60" s="19">
        <f t="shared" si="4"/>
        <v>1.3072995693831865E-5</v>
      </c>
      <c r="H60" s="20">
        <f t="shared" si="2"/>
        <v>1.8692700430616692E-4</v>
      </c>
      <c r="I60" s="21">
        <f t="shared" si="5"/>
        <v>1293.0621230861843</v>
      </c>
      <c r="J60" s="22">
        <f t="shared" si="6"/>
        <v>7.1647684233146718</v>
      </c>
      <c r="O60" s="4"/>
    </row>
    <row r="61" spans="1:15" x14ac:dyDescent="0.2">
      <c r="A61" s="15">
        <v>60</v>
      </c>
      <c r="B61" s="3">
        <v>45359</v>
      </c>
      <c r="C61" s="4">
        <v>5.46</v>
      </c>
      <c r="D61" s="16">
        <f t="shared" si="0"/>
        <v>5.4600000000000003E-2</v>
      </c>
      <c r="E61" s="17">
        <f t="shared" si="3"/>
        <v>-1.8281535648994041E-3</v>
      </c>
      <c r="F61" s="18">
        <f t="shared" si="1"/>
        <v>-9.9999999999995925E-5</v>
      </c>
      <c r="G61" s="19">
        <f t="shared" si="4"/>
        <v>8.6767269794216835E-6</v>
      </c>
      <c r="H61" s="20">
        <f t="shared" si="2"/>
        <v>-1.0867672697941761E-4</v>
      </c>
      <c r="I61" s="21">
        <f t="shared" si="5"/>
        <v>1840.9829676931183</v>
      </c>
      <c r="J61" s="22">
        <f t="shared" si="6"/>
        <v>7.5180549295298347</v>
      </c>
      <c r="O61" s="4"/>
    </row>
    <row r="62" spans="1:15" x14ac:dyDescent="0.2">
      <c r="A62" s="15">
        <v>61</v>
      </c>
      <c r="B62" s="3">
        <v>45358</v>
      </c>
      <c r="C62" s="4">
        <v>5.47</v>
      </c>
      <c r="D62" s="16">
        <f t="shared" si="0"/>
        <v>5.4699999999999999E-2</v>
      </c>
      <c r="E62" s="17">
        <f t="shared" si="3"/>
        <v>0</v>
      </c>
      <c r="F62" s="18">
        <f t="shared" si="1"/>
        <v>0</v>
      </c>
      <c r="G62" s="19">
        <f t="shared" si="4"/>
        <v>8.6767269794216835E-6</v>
      </c>
      <c r="H62" s="20">
        <f t="shared" si="2"/>
        <v>-8.6767269794216835E-6</v>
      </c>
      <c r="I62" s="21">
        <f t="shared" si="5"/>
        <v>2202.37523198811</v>
      </c>
      <c r="J62" s="22">
        <f t="shared" si="6"/>
        <v>7.6972917078462144</v>
      </c>
      <c r="O62" s="4"/>
    </row>
    <row r="63" spans="1:15" x14ac:dyDescent="0.2">
      <c r="A63" s="15">
        <v>62</v>
      </c>
      <c r="B63" s="3">
        <v>45357</v>
      </c>
      <c r="C63" s="4">
        <v>5.47</v>
      </c>
      <c r="D63" s="16">
        <f t="shared" si="0"/>
        <v>5.4699999999999999E-2</v>
      </c>
      <c r="E63" s="17">
        <f t="shared" si="3"/>
        <v>0</v>
      </c>
      <c r="F63" s="18">
        <f t="shared" si="1"/>
        <v>0</v>
      </c>
      <c r="G63" s="19">
        <f t="shared" si="4"/>
        <v>8.6767269794216835E-6</v>
      </c>
      <c r="H63" s="20">
        <f t="shared" si="2"/>
        <v>-8.6767269794216835E-6</v>
      </c>
      <c r="I63" s="21">
        <f t="shared" si="5"/>
        <v>2202.37523198811</v>
      </c>
      <c r="J63" s="22">
        <f t="shared" si="6"/>
        <v>7.6972917078462144</v>
      </c>
      <c r="O63" s="4"/>
    </row>
    <row r="64" spans="1:15" x14ac:dyDescent="0.2">
      <c r="A64" s="15">
        <v>63</v>
      </c>
      <c r="B64" s="3">
        <v>45356</v>
      </c>
      <c r="C64" s="4">
        <v>5.47</v>
      </c>
      <c r="D64" s="16">
        <f t="shared" si="0"/>
        <v>5.4699999999999999E-2</v>
      </c>
      <c r="E64" s="17">
        <f t="shared" si="3"/>
        <v>-1.8248175182482562E-3</v>
      </c>
      <c r="F64" s="18">
        <f t="shared" si="1"/>
        <v>-1.0000000000000286E-4</v>
      </c>
      <c r="G64" s="19">
        <f t="shared" si="4"/>
        <v>4.2804582650111966E-6</v>
      </c>
      <c r="H64" s="20">
        <f t="shared" si="2"/>
        <v>-1.0428045826501405E-4</v>
      </c>
      <c r="I64" s="21">
        <f t="shared" si="5"/>
        <v>1867.4964184093203</v>
      </c>
      <c r="J64" s="22">
        <f t="shared" si="6"/>
        <v>7.5323539991520247</v>
      </c>
      <c r="O64" s="4"/>
    </row>
    <row r="65" spans="1:15" x14ac:dyDescent="0.2">
      <c r="A65" s="15">
        <v>64</v>
      </c>
      <c r="B65" s="3">
        <v>45355</v>
      </c>
      <c r="C65" s="4">
        <v>5.48</v>
      </c>
      <c r="D65" s="16">
        <f t="shared" si="0"/>
        <v>5.4800000000000001E-2</v>
      </c>
      <c r="E65" s="17">
        <f t="shared" si="3"/>
        <v>1.1070110701107083E-2</v>
      </c>
      <c r="F65" s="18">
        <f t="shared" si="1"/>
        <v>6.0000000000000331E-4</v>
      </c>
      <c r="G65" s="19">
        <f t="shared" si="4"/>
        <v>3.0658070551473508E-5</v>
      </c>
      <c r="H65" s="20">
        <f t="shared" si="2"/>
        <v>5.6934192944852976E-4</v>
      </c>
      <c r="I65" s="21">
        <f t="shared" si="5"/>
        <v>15.605390369199284</v>
      </c>
      <c r="J65" s="22">
        <f t="shared" si="6"/>
        <v>2.7476163910586413</v>
      </c>
      <c r="O65" s="4"/>
    </row>
    <row r="66" spans="1:15" x14ac:dyDescent="0.2">
      <c r="A66" s="15">
        <v>65</v>
      </c>
      <c r="B66" s="3">
        <v>45352</v>
      </c>
      <c r="C66" s="4">
        <v>5.42</v>
      </c>
      <c r="D66" s="16">
        <f t="shared" si="0"/>
        <v>5.4199999999999998E-2</v>
      </c>
      <c r="E66" s="17">
        <f t="shared" si="3"/>
        <v>-5.5045871559633586E-3</v>
      </c>
      <c r="F66" s="18">
        <f t="shared" ref="F66:F129" si="7">D66-D67</f>
        <v>-3.0000000000000165E-4</v>
      </c>
      <c r="G66" s="19">
        <f t="shared" ref="G66:G129" si="8">$O$2*($O$3-D67)*$O$7</f>
        <v>1.7469264408242352E-5</v>
      </c>
      <c r="H66" s="20">
        <f t="shared" ref="H66:H129" si="9">F66-G66</f>
        <v>-3.1746926440824402E-4</v>
      </c>
      <c r="I66" s="21">
        <f t="shared" si="5"/>
        <v>473.00280406341426</v>
      </c>
      <c r="J66" s="22">
        <f t="shared" si="6"/>
        <v>6.1591013167268223</v>
      </c>
      <c r="O66" s="4"/>
    </row>
    <row r="67" spans="1:15" x14ac:dyDescent="0.2">
      <c r="A67" s="15">
        <v>66</v>
      </c>
      <c r="B67" s="3">
        <v>45351</v>
      </c>
      <c r="C67" s="4">
        <v>5.45</v>
      </c>
      <c r="D67" s="16">
        <f t="shared" ref="D67:D130" si="10">C67/100</f>
        <v>5.45E-2</v>
      </c>
      <c r="E67" s="17">
        <f t="shared" ref="E67:E130" si="11">(D67/D68-1)</f>
        <v>0</v>
      </c>
      <c r="F67" s="18">
        <f t="shared" si="7"/>
        <v>0</v>
      </c>
      <c r="G67" s="19">
        <f t="shared" si="8"/>
        <v>1.7469264408242352E-5</v>
      </c>
      <c r="H67" s="20">
        <f t="shared" si="9"/>
        <v>-1.7469264408242352E-5</v>
      </c>
      <c r="I67" s="21">
        <f t="shared" ref="I67:I130" si="12">NORMDIST(H67,0,$O$4,FALSE)</f>
        <v>2194.6559005001559</v>
      </c>
      <c r="J67" s="22">
        <f t="shared" ref="J67:J130" si="13">LN(I67)</f>
        <v>7.6937805480723389</v>
      </c>
      <c r="O67" s="4"/>
    </row>
    <row r="68" spans="1:15" x14ac:dyDescent="0.2">
      <c r="A68" s="15">
        <v>67</v>
      </c>
      <c r="B68" s="3">
        <v>45350</v>
      </c>
      <c r="C68" s="4">
        <v>5.45</v>
      </c>
      <c r="D68" s="16">
        <f t="shared" si="10"/>
        <v>5.45E-2</v>
      </c>
      <c r="E68" s="17">
        <f t="shared" si="11"/>
        <v>0</v>
      </c>
      <c r="F68" s="18">
        <f t="shared" si="7"/>
        <v>0</v>
      </c>
      <c r="G68" s="19">
        <f t="shared" si="8"/>
        <v>1.7469264408242352E-5</v>
      </c>
      <c r="H68" s="20">
        <f t="shared" si="9"/>
        <v>-1.7469264408242352E-5</v>
      </c>
      <c r="I68" s="21">
        <f t="shared" si="12"/>
        <v>2194.6559005001559</v>
      </c>
      <c r="J68" s="22">
        <f t="shared" si="13"/>
        <v>7.6937805480723389</v>
      </c>
      <c r="O68" s="4"/>
    </row>
    <row r="69" spans="1:15" x14ac:dyDescent="0.2">
      <c r="A69" s="15">
        <v>68</v>
      </c>
      <c r="B69" s="3">
        <v>45349</v>
      </c>
      <c r="C69" s="4">
        <v>5.45</v>
      </c>
      <c r="D69" s="16">
        <f t="shared" si="10"/>
        <v>5.45E-2</v>
      </c>
      <c r="E69" s="17">
        <f t="shared" si="11"/>
        <v>-3.6563071297989191E-3</v>
      </c>
      <c r="F69" s="18">
        <f t="shared" si="7"/>
        <v>-1.9999999999999879E-4</v>
      </c>
      <c r="G69" s="19">
        <f t="shared" si="8"/>
        <v>8.6767269794216835E-6</v>
      </c>
      <c r="H69" s="20">
        <f t="shared" si="9"/>
        <v>-2.0867672697942046E-4</v>
      </c>
      <c r="I69" s="21">
        <f t="shared" si="12"/>
        <v>1133.8262993234048</v>
      </c>
      <c r="J69" s="22">
        <f t="shared" si="13"/>
        <v>7.033353297355359</v>
      </c>
      <c r="O69" s="4"/>
    </row>
    <row r="70" spans="1:15" x14ac:dyDescent="0.2">
      <c r="A70" s="15">
        <v>69</v>
      </c>
      <c r="B70" s="3">
        <v>45348</v>
      </c>
      <c r="C70" s="4">
        <v>5.47</v>
      </c>
      <c r="D70" s="16">
        <f t="shared" si="10"/>
        <v>5.4699999999999999E-2</v>
      </c>
      <c r="E70" s="17">
        <f t="shared" si="11"/>
        <v>1.831501831501825E-3</v>
      </c>
      <c r="F70" s="18">
        <f t="shared" si="7"/>
        <v>9.9999999999995925E-5</v>
      </c>
      <c r="G70" s="19">
        <f t="shared" si="8"/>
        <v>1.3072995693831865E-5</v>
      </c>
      <c r="H70" s="20">
        <f t="shared" si="9"/>
        <v>8.6927004306164057E-5</v>
      </c>
      <c r="I70" s="21">
        <f t="shared" si="12"/>
        <v>1964.5771236824423</v>
      </c>
      <c r="J70" s="22">
        <f t="shared" si="13"/>
        <v>7.583032296910754</v>
      </c>
      <c r="O70" s="4"/>
    </row>
    <row r="71" spans="1:15" x14ac:dyDescent="0.2">
      <c r="A71" s="15">
        <v>70</v>
      </c>
      <c r="B71" s="3">
        <v>45345</v>
      </c>
      <c r="C71" s="4">
        <v>5.46</v>
      </c>
      <c r="D71" s="16">
        <f t="shared" si="10"/>
        <v>5.4600000000000003E-2</v>
      </c>
      <c r="E71" s="17">
        <f t="shared" si="11"/>
        <v>1.8348623853210455E-3</v>
      </c>
      <c r="F71" s="18">
        <f t="shared" si="7"/>
        <v>1.0000000000000286E-4</v>
      </c>
      <c r="G71" s="19">
        <f t="shared" si="8"/>
        <v>1.7469264408242352E-5</v>
      </c>
      <c r="H71" s="20">
        <f t="shared" si="9"/>
        <v>8.2530735591760515E-5</v>
      </c>
      <c r="I71" s="21">
        <f t="shared" si="12"/>
        <v>1987.0583025871106</v>
      </c>
      <c r="J71" s="22">
        <f t="shared" si="13"/>
        <v>7.5944105841380116</v>
      </c>
      <c r="O71" s="4"/>
    </row>
    <row r="72" spans="1:15" x14ac:dyDescent="0.2">
      <c r="A72" s="15">
        <v>71</v>
      </c>
      <c r="B72" s="3">
        <v>45344</v>
      </c>
      <c r="C72" s="4">
        <v>5.45</v>
      </c>
      <c r="D72" s="16">
        <f t="shared" si="10"/>
        <v>5.45E-2</v>
      </c>
      <c r="E72" s="17">
        <f t="shared" si="11"/>
        <v>1.8382352941175295E-3</v>
      </c>
      <c r="F72" s="18">
        <f t="shared" si="7"/>
        <v>9.9999999999995925E-5</v>
      </c>
      <c r="G72" s="19">
        <f t="shared" si="8"/>
        <v>2.1865533122652535E-5</v>
      </c>
      <c r="H72" s="20">
        <f t="shared" si="9"/>
        <v>7.8134466877343394E-5</v>
      </c>
      <c r="I72" s="21">
        <f t="shared" si="12"/>
        <v>2008.6105512580007</v>
      </c>
      <c r="J72" s="22">
        <f t="shared" si="13"/>
        <v>7.6051984939863662</v>
      </c>
      <c r="O72" s="4"/>
    </row>
    <row r="73" spans="1:15" x14ac:dyDescent="0.2">
      <c r="A73" s="15">
        <v>72</v>
      </c>
      <c r="B73" s="3">
        <v>45343</v>
      </c>
      <c r="C73" s="4">
        <v>5.44</v>
      </c>
      <c r="D73" s="16">
        <f t="shared" si="10"/>
        <v>5.4400000000000004E-2</v>
      </c>
      <c r="E73" s="17">
        <f t="shared" si="11"/>
        <v>0</v>
      </c>
      <c r="F73" s="18">
        <f t="shared" si="7"/>
        <v>0</v>
      </c>
      <c r="G73" s="19">
        <f t="shared" si="8"/>
        <v>2.1865533122652535E-5</v>
      </c>
      <c r="H73" s="20">
        <f t="shared" si="9"/>
        <v>-2.1865533122652535E-5</v>
      </c>
      <c r="I73" s="21">
        <f t="shared" si="12"/>
        <v>2188.8671417885362</v>
      </c>
      <c r="J73" s="22">
        <f t="shared" si="13"/>
        <v>7.6911394021169945</v>
      </c>
      <c r="O73" s="4"/>
    </row>
    <row r="74" spans="1:15" x14ac:dyDescent="0.2">
      <c r="A74" s="15">
        <v>73</v>
      </c>
      <c r="B74" s="3">
        <v>45342</v>
      </c>
      <c r="C74" s="4">
        <v>5.44</v>
      </c>
      <c r="D74" s="16">
        <f t="shared" si="10"/>
        <v>5.4400000000000004E-2</v>
      </c>
      <c r="E74" s="17">
        <f t="shared" si="11"/>
        <v>0</v>
      </c>
      <c r="F74" s="18">
        <f t="shared" si="7"/>
        <v>0</v>
      </c>
      <c r="G74" s="19">
        <f t="shared" si="8"/>
        <v>2.1865533122652535E-5</v>
      </c>
      <c r="H74" s="20">
        <f t="shared" si="9"/>
        <v>-2.1865533122652535E-5</v>
      </c>
      <c r="I74" s="21">
        <f t="shared" si="12"/>
        <v>2188.8671417885362</v>
      </c>
      <c r="J74" s="22">
        <f t="shared" si="13"/>
        <v>7.6911394021169945</v>
      </c>
      <c r="O74" s="4"/>
    </row>
    <row r="75" spans="1:15" x14ac:dyDescent="0.2">
      <c r="A75" s="15">
        <v>74</v>
      </c>
      <c r="B75" s="3">
        <v>45338</v>
      </c>
      <c r="C75" s="4">
        <v>5.44</v>
      </c>
      <c r="D75" s="16">
        <f t="shared" si="10"/>
        <v>5.4400000000000004E-2</v>
      </c>
      <c r="E75" s="17">
        <f t="shared" si="11"/>
        <v>1.8416206261511192E-3</v>
      </c>
      <c r="F75" s="18">
        <f t="shared" si="7"/>
        <v>1.000000000000098E-4</v>
      </c>
      <c r="G75" s="19">
        <f t="shared" si="8"/>
        <v>2.6261801837063325E-5</v>
      </c>
      <c r="H75" s="20">
        <f t="shared" si="9"/>
        <v>7.3738198162946479E-5</v>
      </c>
      <c r="I75" s="21">
        <f t="shared" si="12"/>
        <v>2029.1982158534686</v>
      </c>
      <c r="J75" s="22">
        <f t="shared" si="13"/>
        <v>7.6153960264557341</v>
      </c>
      <c r="O75" s="4"/>
    </row>
    <row r="76" spans="1:15" x14ac:dyDescent="0.2">
      <c r="A76" s="15">
        <v>75</v>
      </c>
      <c r="B76" s="3">
        <v>45337</v>
      </c>
      <c r="C76" s="4">
        <v>5.43</v>
      </c>
      <c r="D76" s="16">
        <f t="shared" si="10"/>
        <v>5.4299999999999994E-2</v>
      </c>
      <c r="E76" s="17">
        <f t="shared" si="11"/>
        <v>0</v>
      </c>
      <c r="F76" s="18">
        <f t="shared" si="7"/>
        <v>0</v>
      </c>
      <c r="G76" s="19">
        <f t="shared" si="8"/>
        <v>2.6261801837063325E-5</v>
      </c>
      <c r="H76" s="20">
        <f t="shared" si="9"/>
        <v>-2.6261801837063325E-5</v>
      </c>
      <c r="I76" s="21">
        <f t="shared" si="12"/>
        <v>2181.8051831318112</v>
      </c>
      <c r="J76" s="22">
        <f t="shared" si="13"/>
        <v>7.6879078787827115</v>
      </c>
      <c r="O76" s="4"/>
    </row>
    <row r="77" spans="1:15" x14ac:dyDescent="0.2">
      <c r="A77" s="15">
        <v>76</v>
      </c>
      <c r="B77" s="3">
        <v>45336</v>
      </c>
      <c r="C77" s="4">
        <v>5.43</v>
      </c>
      <c r="D77" s="16">
        <f t="shared" si="10"/>
        <v>5.4299999999999994E-2</v>
      </c>
      <c r="E77" s="17">
        <f t="shared" si="11"/>
        <v>-3.6697247706423131E-3</v>
      </c>
      <c r="F77" s="18">
        <f t="shared" si="7"/>
        <v>-2.0000000000000573E-4</v>
      </c>
      <c r="G77" s="19">
        <f t="shared" si="8"/>
        <v>1.7469264408242352E-5</v>
      </c>
      <c r="H77" s="20">
        <f t="shared" si="9"/>
        <v>-2.1746926440824809E-4</v>
      </c>
      <c r="I77" s="21">
        <f t="shared" si="12"/>
        <v>1070.7620972639563</v>
      </c>
      <c r="J77" s="22">
        <f t="shared" si="13"/>
        <v>6.9761259143667109</v>
      </c>
      <c r="O77" s="4"/>
    </row>
    <row r="78" spans="1:15" x14ac:dyDescent="0.2">
      <c r="A78" s="15">
        <v>77</v>
      </c>
      <c r="B78" s="3">
        <v>45335</v>
      </c>
      <c r="C78" s="4">
        <v>5.45</v>
      </c>
      <c r="D78" s="16">
        <f t="shared" si="10"/>
        <v>5.45E-2</v>
      </c>
      <c r="E78" s="17">
        <f t="shared" si="11"/>
        <v>3.6832412523022384E-3</v>
      </c>
      <c r="F78" s="18">
        <f t="shared" si="7"/>
        <v>2.0000000000000573E-4</v>
      </c>
      <c r="G78" s="19">
        <f t="shared" si="8"/>
        <v>2.6261801837063325E-5</v>
      </c>
      <c r="H78" s="20">
        <f t="shared" si="9"/>
        <v>1.737381981629424E-4</v>
      </c>
      <c r="I78" s="21">
        <f t="shared" si="12"/>
        <v>1390.5008990929666</v>
      </c>
      <c r="J78" s="22">
        <f t="shared" si="13"/>
        <v>7.2374193202706945</v>
      </c>
      <c r="O78" s="4"/>
    </row>
    <row r="79" spans="1:15" x14ac:dyDescent="0.2">
      <c r="A79" s="15">
        <v>78</v>
      </c>
      <c r="B79" s="3">
        <v>45334</v>
      </c>
      <c r="C79" s="4">
        <v>5.43</v>
      </c>
      <c r="D79" s="16">
        <f t="shared" si="10"/>
        <v>5.4299999999999994E-2</v>
      </c>
      <c r="E79" s="17">
        <f t="shared" si="11"/>
        <v>-1.8382352941178626E-3</v>
      </c>
      <c r="F79" s="18">
        <f t="shared" si="7"/>
        <v>-1.000000000000098E-4</v>
      </c>
      <c r="G79" s="19">
        <f t="shared" si="8"/>
        <v>2.1865533122652535E-5</v>
      </c>
      <c r="H79" s="20">
        <f t="shared" si="9"/>
        <v>-1.2186553312266234E-4</v>
      </c>
      <c r="I79" s="21">
        <f t="shared" si="12"/>
        <v>1757.4434668877734</v>
      </c>
      <c r="J79" s="22">
        <f t="shared" si="13"/>
        <v>7.4716154563895198</v>
      </c>
      <c r="O79" s="4"/>
    </row>
    <row r="80" spans="1:15" x14ac:dyDescent="0.2">
      <c r="A80" s="15">
        <v>79</v>
      </c>
      <c r="B80" s="3">
        <v>45331</v>
      </c>
      <c r="C80" s="4">
        <v>5.44</v>
      </c>
      <c r="D80" s="16">
        <f t="shared" si="10"/>
        <v>5.4400000000000004E-2</v>
      </c>
      <c r="E80" s="17">
        <f t="shared" si="11"/>
        <v>0</v>
      </c>
      <c r="F80" s="18">
        <f t="shared" si="7"/>
        <v>0</v>
      </c>
      <c r="G80" s="19">
        <f t="shared" si="8"/>
        <v>2.1865533122652535E-5</v>
      </c>
      <c r="H80" s="20">
        <f t="shared" si="9"/>
        <v>-2.1865533122652535E-5</v>
      </c>
      <c r="I80" s="21">
        <f t="shared" si="12"/>
        <v>2188.8671417885362</v>
      </c>
      <c r="J80" s="22">
        <f t="shared" si="13"/>
        <v>7.6911394021169945</v>
      </c>
      <c r="O80" s="4"/>
    </row>
    <row r="81" spans="1:15" x14ac:dyDescent="0.2">
      <c r="A81" s="15">
        <v>80</v>
      </c>
      <c r="B81" s="3">
        <v>45330</v>
      </c>
      <c r="C81" s="4">
        <v>5.44</v>
      </c>
      <c r="D81" s="16">
        <f t="shared" si="10"/>
        <v>5.4400000000000004E-2</v>
      </c>
      <c r="E81" s="17">
        <f t="shared" si="11"/>
        <v>1.8416206261511192E-3</v>
      </c>
      <c r="F81" s="18">
        <f t="shared" si="7"/>
        <v>1.000000000000098E-4</v>
      </c>
      <c r="G81" s="19">
        <f t="shared" si="8"/>
        <v>2.6261801837063325E-5</v>
      </c>
      <c r="H81" s="20">
        <f t="shared" si="9"/>
        <v>7.3738198162946479E-5</v>
      </c>
      <c r="I81" s="21">
        <f t="shared" si="12"/>
        <v>2029.1982158534686</v>
      </c>
      <c r="J81" s="22">
        <f t="shared" si="13"/>
        <v>7.6153960264557341</v>
      </c>
      <c r="O81" s="4"/>
    </row>
    <row r="82" spans="1:15" x14ac:dyDescent="0.2">
      <c r="A82" s="15">
        <v>81</v>
      </c>
      <c r="B82" s="3">
        <v>45329</v>
      </c>
      <c r="C82" s="4">
        <v>5.43</v>
      </c>
      <c r="D82" s="16">
        <f t="shared" si="10"/>
        <v>5.4299999999999994E-2</v>
      </c>
      <c r="E82" s="17">
        <f t="shared" si="11"/>
        <v>-1.8382352941178626E-3</v>
      </c>
      <c r="F82" s="18">
        <f t="shared" si="7"/>
        <v>-1.000000000000098E-4</v>
      </c>
      <c r="G82" s="19">
        <f t="shared" si="8"/>
        <v>2.1865533122652535E-5</v>
      </c>
      <c r="H82" s="20">
        <f t="shared" si="9"/>
        <v>-1.2186553312266234E-4</v>
      </c>
      <c r="I82" s="21">
        <f t="shared" si="12"/>
        <v>1757.4434668877734</v>
      </c>
      <c r="J82" s="22">
        <f t="shared" si="13"/>
        <v>7.4716154563895198</v>
      </c>
      <c r="O82" s="4"/>
    </row>
    <row r="83" spans="1:15" x14ac:dyDescent="0.2">
      <c r="A83" s="15">
        <v>82</v>
      </c>
      <c r="B83" s="3">
        <v>45328</v>
      </c>
      <c r="C83" s="4">
        <v>5.44</v>
      </c>
      <c r="D83" s="16">
        <f t="shared" si="10"/>
        <v>5.4400000000000004E-2</v>
      </c>
      <c r="E83" s="17">
        <f t="shared" si="11"/>
        <v>3.6900369003691758E-3</v>
      </c>
      <c r="F83" s="18">
        <f t="shared" si="7"/>
        <v>2.0000000000000573E-4</v>
      </c>
      <c r="G83" s="19">
        <f t="shared" si="8"/>
        <v>3.0658070551473508E-5</v>
      </c>
      <c r="H83" s="20">
        <f t="shared" si="9"/>
        <v>1.6934192944853223E-4</v>
      </c>
      <c r="I83" s="21">
        <f t="shared" si="12"/>
        <v>1422.9045669659392</v>
      </c>
      <c r="J83" s="22">
        <f t="shared" si="13"/>
        <v>7.2604555311648369</v>
      </c>
      <c r="O83" s="4"/>
    </row>
    <row r="84" spans="1:15" x14ac:dyDescent="0.2">
      <c r="A84" s="15">
        <v>83</v>
      </c>
      <c r="B84" s="3">
        <v>45327</v>
      </c>
      <c r="C84" s="4">
        <v>5.42</v>
      </c>
      <c r="D84" s="16">
        <f t="shared" si="10"/>
        <v>5.4199999999999998E-2</v>
      </c>
      <c r="E84" s="17">
        <f t="shared" si="11"/>
        <v>-1.8416206261508972E-3</v>
      </c>
      <c r="F84" s="18">
        <f t="shared" si="7"/>
        <v>-9.9999999999995925E-5</v>
      </c>
      <c r="G84" s="19">
        <f t="shared" si="8"/>
        <v>2.6261801837063325E-5</v>
      </c>
      <c r="H84" s="20">
        <f t="shared" si="9"/>
        <v>-1.2626180183705925E-4</v>
      </c>
      <c r="I84" s="21">
        <f t="shared" si="12"/>
        <v>1728.4060030786366</v>
      </c>
      <c r="J84" s="22">
        <f t="shared" si="13"/>
        <v>7.4549548772516054</v>
      </c>
      <c r="O84" s="4"/>
    </row>
    <row r="85" spans="1:15" x14ac:dyDescent="0.2">
      <c r="A85" s="15">
        <v>84</v>
      </c>
      <c r="B85" s="3">
        <v>45324</v>
      </c>
      <c r="C85" s="4">
        <v>5.43</v>
      </c>
      <c r="D85" s="16">
        <f t="shared" si="10"/>
        <v>5.4299999999999994E-2</v>
      </c>
      <c r="E85" s="17">
        <f t="shared" si="11"/>
        <v>1.8450184501843658E-3</v>
      </c>
      <c r="F85" s="18">
        <f t="shared" si="7"/>
        <v>9.9999999999995925E-5</v>
      </c>
      <c r="G85" s="19">
        <f t="shared" si="8"/>
        <v>3.0658070551473508E-5</v>
      </c>
      <c r="H85" s="20">
        <f t="shared" si="9"/>
        <v>6.9341929448522418E-5</v>
      </c>
      <c r="I85" s="21">
        <f t="shared" si="12"/>
        <v>2048.786983320223</v>
      </c>
      <c r="J85" s="22">
        <f t="shared" si="13"/>
        <v>7.6250031815462256</v>
      </c>
      <c r="O85" s="4"/>
    </row>
    <row r="86" spans="1:15" x14ac:dyDescent="0.2">
      <c r="A86" s="15">
        <v>85</v>
      </c>
      <c r="B86" s="3">
        <v>45323</v>
      </c>
      <c r="C86" s="4">
        <v>5.42</v>
      </c>
      <c r="D86" s="16">
        <f t="shared" si="10"/>
        <v>5.4199999999999998E-2</v>
      </c>
      <c r="E86" s="17">
        <f t="shared" si="11"/>
        <v>0</v>
      </c>
      <c r="F86" s="18">
        <f t="shared" si="7"/>
        <v>0</v>
      </c>
      <c r="G86" s="19">
        <f t="shared" si="8"/>
        <v>3.0658070551473508E-5</v>
      </c>
      <c r="H86" s="20">
        <f t="shared" si="9"/>
        <v>-3.0658070551473508E-5</v>
      </c>
      <c r="I86" s="21">
        <f t="shared" si="12"/>
        <v>2173.4824547977564</v>
      </c>
      <c r="J86" s="22">
        <f t="shared" si="13"/>
        <v>7.6840859780694908</v>
      </c>
      <c r="O86" s="4"/>
    </row>
    <row r="87" spans="1:15" x14ac:dyDescent="0.2">
      <c r="A87" s="15">
        <v>86</v>
      </c>
      <c r="B87" s="3">
        <v>45322</v>
      </c>
      <c r="C87" s="4">
        <v>5.42</v>
      </c>
      <c r="D87" s="16">
        <f t="shared" si="10"/>
        <v>5.4199999999999998E-2</v>
      </c>
      <c r="E87" s="17">
        <f t="shared" si="11"/>
        <v>0</v>
      </c>
      <c r="F87" s="18">
        <f t="shared" si="7"/>
        <v>0</v>
      </c>
      <c r="G87" s="19">
        <f t="shared" si="8"/>
        <v>3.0658070551473508E-5</v>
      </c>
      <c r="H87" s="20">
        <f t="shared" si="9"/>
        <v>-3.0658070551473508E-5</v>
      </c>
      <c r="I87" s="21">
        <f t="shared" si="12"/>
        <v>2173.4824547977564</v>
      </c>
      <c r="J87" s="22">
        <f t="shared" si="13"/>
        <v>7.6840859780694908</v>
      </c>
      <c r="O87" s="4"/>
    </row>
    <row r="88" spans="1:15" x14ac:dyDescent="0.2">
      <c r="A88" s="15">
        <v>87</v>
      </c>
      <c r="B88" s="3">
        <v>45321</v>
      </c>
      <c r="C88" s="4">
        <v>5.42</v>
      </c>
      <c r="D88" s="16">
        <f t="shared" si="10"/>
        <v>5.4199999999999998E-2</v>
      </c>
      <c r="E88" s="17">
        <f t="shared" si="11"/>
        <v>0</v>
      </c>
      <c r="F88" s="18">
        <f t="shared" si="7"/>
        <v>0</v>
      </c>
      <c r="G88" s="19">
        <f t="shared" si="8"/>
        <v>3.0658070551473508E-5</v>
      </c>
      <c r="H88" s="20">
        <f t="shared" si="9"/>
        <v>-3.0658070551473508E-5</v>
      </c>
      <c r="I88" s="21">
        <f t="shared" si="12"/>
        <v>2173.4824547977564</v>
      </c>
      <c r="J88" s="22">
        <f t="shared" si="13"/>
        <v>7.6840859780694908</v>
      </c>
      <c r="O88" s="4"/>
    </row>
    <row r="89" spans="1:15" x14ac:dyDescent="0.2">
      <c r="A89" s="15">
        <v>88</v>
      </c>
      <c r="B89" s="3">
        <v>45320</v>
      </c>
      <c r="C89" s="4">
        <v>5.42</v>
      </c>
      <c r="D89" s="16">
        <f t="shared" si="10"/>
        <v>5.4199999999999998E-2</v>
      </c>
      <c r="E89" s="17">
        <f t="shared" si="11"/>
        <v>-3.6764705882353921E-3</v>
      </c>
      <c r="F89" s="18">
        <f t="shared" si="7"/>
        <v>-2.0000000000000573E-4</v>
      </c>
      <c r="G89" s="19">
        <f t="shared" si="8"/>
        <v>2.1865533122652535E-5</v>
      </c>
      <c r="H89" s="20">
        <f t="shared" si="9"/>
        <v>-2.2186553312265826E-4</v>
      </c>
      <c r="I89" s="21">
        <f t="shared" si="12"/>
        <v>1039.6367547062291</v>
      </c>
      <c r="J89" s="22">
        <f t="shared" si="13"/>
        <v>6.9466266568040025</v>
      </c>
      <c r="O89" s="4"/>
    </row>
    <row r="90" spans="1:15" x14ac:dyDescent="0.2">
      <c r="A90" s="15">
        <v>89</v>
      </c>
      <c r="B90" s="3">
        <v>45317</v>
      </c>
      <c r="C90" s="4">
        <v>5.44</v>
      </c>
      <c r="D90" s="16">
        <f t="shared" si="10"/>
        <v>5.4400000000000004E-2</v>
      </c>
      <c r="E90" s="17">
        <f t="shared" si="11"/>
        <v>0</v>
      </c>
      <c r="F90" s="18">
        <f t="shared" si="7"/>
        <v>0</v>
      </c>
      <c r="G90" s="19">
        <f t="shared" si="8"/>
        <v>2.1865533122652535E-5</v>
      </c>
      <c r="H90" s="20">
        <f t="shared" si="9"/>
        <v>-2.1865533122652535E-5</v>
      </c>
      <c r="I90" s="21">
        <f t="shared" si="12"/>
        <v>2188.8671417885362</v>
      </c>
      <c r="J90" s="22">
        <f t="shared" si="13"/>
        <v>7.6911394021169945</v>
      </c>
      <c r="O90" s="4"/>
    </row>
    <row r="91" spans="1:15" x14ac:dyDescent="0.2">
      <c r="A91" s="15">
        <v>90</v>
      </c>
      <c r="B91" s="3">
        <v>45316</v>
      </c>
      <c r="C91" s="4">
        <v>5.44</v>
      </c>
      <c r="D91" s="16">
        <f t="shared" si="10"/>
        <v>5.4400000000000004E-2</v>
      </c>
      <c r="E91" s="17">
        <f t="shared" si="11"/>
        <v>0</v>
      </c>
      <c r="F91" s="18">
        <f t="shared" si="7"/>
        <v>0</v>
      </c>
      <c r="G91" s="19">
        <f t="shared" si="8"/>
        <v>2.1865533122652535E-5</v>
      </c>
      <c r="H91" s="20">
        <f t="shared" si="9"/>
        <v>-2.1865533122652535E-5</v>
      </c>
      <c r="I91" s="21">
        <f t="shared" si="12"/>
        <v>2188.8671417885362</v>
      </c>
      <c r="J91" s="22">
        <f t="shared" si="13"/>
        <v>7.6911394021169945</v>
      </c>
      <c r="O91" s="4"/>
    </row>
    <row r="92" spans="1:15" x14ac:dyDescent="0.2">
      <c r="A92" s="15">
        <v>91</v>
      </c>
      <c r="B92" s="3">
        <v>45315</v>
      </c>
      <c r="C92" s="4">
        <v>5.44</v>
      </c>
      <c r="D92" s="16">
        <f t="shared" si="10"/>
        <v>5.4400000000000004E-2</v>
      </c>
      <c r="E92" s="17">
        <f t="shared" si="11"/>
        <v>-1.8348623853210455E-3</v>
      </c>
      <c r="F92" s="18">
        <f t="shared" si="7"/>
        <v>-9.9999999999995925E-5</v>
      </c>
      <c r="G92" s="19">
        <f t="shared" si="8"/>
        <v>1.7469264408242352E-5</v>
      </c>
      <c r="H92" s="20">
        <f t="shared" si="9"/>
        <v>-1.1746926440823827E-4</v>
      </c>
      <c r="I92" s="21">
        <f t="shared" si="12"/>
        <v>1785.9140895942071</v>
      </c>
      <c r="J92" s="22">
        <f t="shared" si="13"/>
        <v>7.4876856581485969</v>
      </c>
      <c r="O92" s="4"/>
    </row>
    <row r="93" spans="1:15" x14ac:dyDescent="0.2">
      <c r="A93" s="15">
        <v>92</v>
      </c>
      <c r="B93" s="3">
        <v>45314</v>
      </c>
      <c r="C93" s="4">
        <v>5.45</v>
      </c>
      <c r="D93" s="16">
        <f t="shared" si="10"/>
        <v>5.45E-2</v>
      </c>
      <c r="E93" s="17">
        <f t="shared" si="11"/>
        <v>-1.831501831501936E-3</v>
      </c>
      <c r="F93" s="18">
        <f t="shared" si="7"/>
        <v>-1.0000000000000286E-4</v>
      </c>
      <c r="G93" s="19">
        <f t="shared" si="8"/>
        <v>1.3072995693831865E-5</v>
      </c>
      <c r="H93" s="20">
        <f t="shared" si="9"/>
        <v>-1.1307299569383473E-4</v>
      </c>
      <c r="I93" s="21">
        <f t="shared" si="12"/>
        <v>1813.7748092411898</v>
      </c>
      <c r="J93" s="22">
        <f t="shared" si="13"/>
        <v>7.5031654825286616</v>
      </c>
      <c r="O93" s="4"/>
    </row>
    <row r="94" spans="1:15" x14ac:dyDescent="0.2">
      <c r="A94" s="15">
        <v>93</v>
      </c>
      <c r="B94" s="3">
        <v>45313</v>
      </c>
      <c r="C94" s="4">
        <v>5.46</v>
      </c>
      <c r="D94" s="16">
        <f t="shared" si="10"/>
        <v>5.4600000000000003E-2</v>
      </c>
      <c r="E94" s="17">
        <f t="shared" si="11"/>
        <v>1.8348623853210455E-3</v>
      </c>
      <c r="F94" s="18">
        <f t="shared" si="7"/>
        <v>1.0000000000000286E-4</v>
      </c>
      <c r="G94" s="19">
        <f t="shared" si="8"/>
        <v>1.7469264408242352E-5</v>
      </c>
      <c r="H94" s="20">
        <f t="shared" si="9"/>
        <v>8.2530735591760515E-5</v>
      </c>
      <c r="I94" s="21">
        <f t="shared" si="12"/>
        <v>1987.0583025871106</v>
      </c>
      <c r="J94" s="22">
        <f t="shared" si="13"/>
        <v>7.5944105841380116</v>
      </c>
      <c r="O94" s="4"/>
    </row>
    <row r="95" spans="1:15" x14ac:dyDescent="0.2">
      <c r="A95" s="15">
        <v>94</v>
      </c>
      <c r="B95" s="3">
        <v>45310</v>
      </c>
      <c r="C95" s="4">
        <v>5.45</v>
      </c>
      <c r="D95" s="16">
        <f t="shared" si="10"/>
        <v>5.45E-2</v>
      </c>
      <c r="E95" s="17">
        <f t="shared" si="11"/>
        <v>0</v>
      </c>
      <c r="F95" s="18">
        <f t="shared" si="7"/>
        <v>0</v>
      </c>
      <c r="G95" s="19">
        <f t="shared" si="8"/>
        <v>1.7469264408242352E-5</v>
      </c>
      <c r="H95" s="20">
        <f t="shared" si="9"/>
        <v>-1.7469264408242352E-5</v>
      </c>
      <c r="I95" s="21">
        <f t="shared" si="12"/>
        <v>2194.6559005001559</v>
      </c>
      <c r="J95" s="22">
        <f t="shared" si="13"/>
        <v>7.6937805480723389</v>
      </c>
      <c r="O95" s="4"/>
    </row>
    <row r="96" spans="1:15" x14ac:dyDescent="0.2">
      <c r="A96" s="15">
        <v>95</v>
      </c>
      <c r="B96" s="3">
        <v>45309</v>
      </c>
      <c r="C96" s="4">
        <v>5.45</v>
      </c>
      <c r="D96" s="16">
        <f t="shared" si="10"/>
        <v>5.45E-2</v>
      </c>
      <c r="E96" s="17">
        <f t="shared" si="11"/>
        <v>-3.6563071297989191E-3</v>
      </c>
      <c r="F96" s="18">
        <f t="shared" si="7"/>
        <v>-1.9999999999999879E-4</v>
      </c>
      <c r="G96" s="19">
        <f t="shared" si="8"/>
        <v>8.6767269794216835E-6</v>
      </c>
      <c r="H96" s="20">
        <f t="shared" si="9"/>
        <v>-2.0867672697942046E-4</v>
      </c>
      <c r="I96" s="21">
        <f t="shared" si="12"/>
        <v>1133.8262993234048</v>
      </c>
      <c r="J96" s="22">
        <f t="shared" si="13"/>
        <v>7.033353297355359</v>
      </c>
      <c r="O96" s="4"/>
    </row>
    <row r="97" spans="1:15" x14ac:dyDescent="0.2">
      <c r="A97" s="15">
        <v>96</v>
      </c>
      <c r="B97" s="3">
        <v>45308</v>
      </c>
      <c r="C97" s="4">
        <v>5.47</v>
      </c>
      <c r="D97" s="16">
        <f t="shared" si="10"/>
        <v>5.4699999999999999E-2</v>
      </c>
      <c r="E97" s="17">
        <f t="shared" si="11"/>
        <v>3.669724770642091E-3</v>
      </c>
      <c r="F97" s="18">
        <f t="shared" si="7"/>
        <v>1.9999999999999879E-4</v>
      </c>
      <c r="G97" s="19">
        <f t="shared" si="8"/>
        <v>1.7469264408242352E-5</v>
      </c>
      <c r="H97" s="20">
        <f t="shared" si="9"/>
        <v>1.8253073559175643E-4</v>
      </c>
      <c r="I97" s="21">
        <f t="shared" si="12"/>
        <v>1325.5407473135315</v>
      </c>
      <c r="J97" s="22">
        <f t="shared" si="13"/>
        <v>7.1895757663456292</v>
      </c>
      <c r="O97" s="4"/>
    </row>
    <row r="98" spans="1:15" x14ac:dyDescent="0.2">
      <c r="A98" s="15">
        <v>97</v>
      </c>
      <c r="B98" s="3">
        <v>45307</v>
      </c>
      <c r="C98" s="4">
        <v>5.45</v>
      </c>
      <c r="D98" s="16">
        <f t="shared" si="10"/>
        <v>5.45E-2</v>
      </c>
      <c r="E98" s="17">
        <f t="shared" si="11"/>
        <v>0</v>
      </c>
      <c r="F98" s="18">
        <f t="shared" si="7"/>
        <v>0</v>
      </c>
      <c r="G98" s="19">
        <f t="shared" si="8"/>
        <v>1.7469264408242352E-5</v>
      </c>
      <c r="H98" s="20">
        <f t="shared" si="9"/>
        <v>-1.7469264408242352E-5</v>
      </c>
      <c r="I98" s="21">
        <f t="shared" si="12"/>
        <v>2194.6559005001559</v>
      </c>
      <c r="J98" s="22">
        <f t="shared" si="13"/>
        <v>7.6937805480723389</v>
      </c>
      <c r="O98" s="4"/>
    </row>
    <row r="99" spans="1:15" x14ac:dyDescent="0.2">
      <c r="A99" s="15">
        <v>98</v>
      </c>
      <c r="B99" s="3">
        <v>45303</v>
      </c>
      <c r="C99" s="4">
        <v>5.45</v>
      </c>
      <c r="D99" s="16">
        <f t="shared" si="10"/>
        <v>5.45E-2</v>
      </c>
      <c r="E99" s="17">
        <f t="shared" si="11"/>
        <v>-1.831501831501936E-3</v>
      </c>
      <c r="F99" s="18">
        <f t="shared" si="7"/>
        <v>-1.0000000000000286E-4</v>
      </c>
      <c r="G99" s="19">
        <f t="shared" si="8"/>
        <v>1.3072995693831865E-5</v>
      </c>
      <c r="H99" s="20">
        <f t="shared" si="9"/>
        <v>-1.1307299569383473E-4</v>
      </c>
      <c r="I99" s="21">
        <f t="shared" si="12"/>
        <v>1813.7748092411898</v>
      </c>
      <c r="J99" s="22">
        <f t="shared" si="13"/>
        <v>7.5031654825286616</v>
      </c>
      <c r="O99" s="4"/>
    </row>
    <row r="100" spans="1:15" x14ac:dyDescent="0.2">
      <c r="A100" s="15">
        <v>99</v>
      </c>
      <c r="B100" s="3">
        <v>45302</v>
      </c>
      <c r="C100" s="4">
        <v>5.46</v>
      </c>
      <c r="D100" s="16">
        <f t="shared" si="10"/>
        <v>5.4600000000000003E-2</v>
      </c>
      <c r="E100" s="17">
        <f t="shared" si="11"/>
        <v>0</v>
      </c>
      <c r="F100" s="18">
        <f t="shared" si="7"/>
        <v>0</v>
      </c>
      <c r="G100" s="19">
        <f t="shared" si="8"/>
        <v>1.3072995693831865E-5</v>
      </c>
      <c r="H100" s="20">
        <f t="shared" si="9"/>
        <v>-1.3072995693831865E-5</v>
      </c>
      <c r="I100" s="21">
        <f t="shared" si="12"/>
        <v>2199.1612499925154</v>
      </c>
      <c r="J100" s="22">
        <f t="shared" si="13"/>
        <v>7.6958313166487455</v>
      </c>
      <c r="O100" s="4"/>
    </row>
    <row r="101" spans="1:15" x14ac:dyDescent="0.2">
      <c r="A101" s="15">
        <v>100</v>
      </c>
      <c r="B101" s="3">
        <v>45301</v>
      </c>
      <c r="C101" s="4">
        <v>5.46</v>
      </c>
      <c r="D101" s="16">
        <f t="shared" si="10"/>
        <v>5.4600000000000003E-2</v>
      </c>
      <c r="E101" s="17">
        <f t="shared" si="11"/>
        <v>-1.8281535648994041E-3</v>
      </c>
      <c r="F101" s="18">
        <f t="shared" si="7"/>
        <v>-9.9999999999995925E-5</v>
      </c>
      <c r="G101" s="19">
        <f t="shared" si="8"/>
        <v>8.6767269794216835E-6</v>
      </c>
      <c r="H101" s="20">
        <f t="shared" si="9"/>
        <v>-1.0867672697941761E-4</v>
      </c>
      <c r="I101" s="21">
        <f t="shared" si="12"/>
        <v>1840.9829676931183</v>
      </c>
      <c r="J101" s="22">
        <f t="shared" si="13"/>
        <v>7.5180549295298347</v>
      </c>
      <c r="O101" s="4"/>
    </row>
    <row r="102" spans="1:15" x14ac:dyDescent="0.2">
      <c r="A102" s="15">
        <v>101</v>
      </c>
      <c r="B102" s="3">
        <v>45300</v>
      </c>
      <c r="C102" s="4">
        <v>5.47</v>
      </c>
      <c r="D102" s="16">
        <f t="shared" si="10"/>
        <v>5.4699999999999999E-2</v>
      </c>
      <c r="E102" s="17">
        <f t="shared" si="11"/>
        <v>-3.6429872495447047E-3</v>
      </c>
      <c r="F102" s="18">
        <f t="shared" si="7"/>
        <v>-2.0000000000000573E-4</v>
      </c>
      <c r="G102" s="19">
        <f t="shared" si="8"/>
        <v>-1.158104493992904E-7</v>
      </c>
      <c r="H102" s="20">
        <f t="shared" si="9"/>
        <v>-1.9988418955060644E-4</v>
      </c>
      <c r="I102" s="21">
        <f t="shared" si="12"/>
        <v>1197.7728713323932</v>
      </c>
      <c r="J102" s="22">
        <f t="shared" si="13"/>
        <v>7.088219170828169</v>
      </c>
      <c r="O102" s="4"/>
    </row>
    <row r="103" spans="1:15" x14ac:dyDescent="0.2">
      <c r="A103" s="15">
        <v>102</v>
      </c>
      <c r="B103" s="3">
        <v>45299</v>
      </c>
      <c r="C103" s="4">
        <v>5.49</v>
      </c>
      <c r="D103" s="16">
        <f t="shared" si="10"/>
        <v>5.4900000000000004E-2</v>
      </c>
      <c r="E103" s="17">
        <f t="shared" si="11"/>
        <v>3.6563071297990302E-3</v>
      </c>
      <c r="F103" s="18">
        <f t="shared" si="7"/>
        <v>2.0000000000000573E-4</v>
      </c>
      <c r="G103" s="19">
        <f t="shared" si="8"/>
        <v>8.6767269794216835E-6</v>
      </c>
      <c r="H103" s="20">
        <f t="shared" si="9"/>
        <v>1.9132327302058406E-4</v>
      </c>
      <c r="I103" s="21">
        <f t="shared" si="12"/>
        <v>1260.6348255969526</v>
      </c>
      <c r="J103" s="22">
        <f t="shared" si="13"/>
        <v>7.1393707029047375</v>
      </c>
      <c r="O103" s="4"/>
    </row>
    <row r="104" spans="1:15" x14ac:dyDescent="0.2">
      <c r="A104" s="15">
        <v>103</v>
      </c>
      <c r="B104" s="3">
        <v>45296</v>
      </c>
      <c r="C104" s="4">
        <v>5.47</v>
      </c>
      <c r="D104" s="16">
        <f t="shared" si="10"/>
        <v>5.4699999999999999E-2</v>
      </c>
      <c r="E104" s="17">
        <f t="shared" si="11"/>
        <v>-1.8248175182482562E-3</v>
      </c>
      <c r="F104" s="18">
        <f t="shared" si="7"/>
        <v>-1.0000000000000286E-4</v>
      </c>
      <c r="G104" s="19">
        <f t="shared" si="8"/>
        <v>4.2804582650111966E-6</v>
      </c>
      <c r="H104" s="20">
        <f t="shared" si="9"/>
        <v>-1.0428045826501405E-4</v>
      </c>
      <c r="I104" s="21">
        <f t="shared" si="12"/>
        <v>1867.4964184093203</v>
      </c>
      <c r="J104" s="22">
        <f t="shared" si="13"/>
        <v>7.5323539991520247</v>
      </c>
      <c r="O104" s="4"/>
    </row>
    <row r="105" spans="1:15" x14ac:dyDescent="0.2">
      <c r="A105" s="15">
        <v>104</v>
      </c>
      <c r="B105" s="3">
        <v>45295</v>
      </c>
      <c r="C105" s="4">
        <v>5.48</v>
      </c>
      <c r="D105" s="16">
        <f t="shared" si="10"/>
        <v>5.4800000000000001E-2</v>
      </c>
      <c r="E105" s="17">
        <f t="shared" si="11"/>
        <v>0</v>
      </c>
      <c r="F105" s="18">
        <f t="shared" si="7"/>
        <v>0</v>
      </c>
      <c r="G105" s="19">
        <f t="shared" si="8"/>
        <v>4.2804582650111966E-6</v>
      </c>
      <c r="H105" s="20">
        <f t="shared" si="9"/>
        <v>-4.2804582650111966E-6</v>
      </c>
      <c r="I105" s="21">
        <f t="shared" si="12"/>
        <v>2204.2921626306893</v>
      </c>
      <c r="J105" s="22">
        <f t="shared" si="13"/>
        <v>7.6981617216647447</v>
      </c>
      <c r="O105" s="4"/>
    </row>
    <row r="106" spans="1:15" x14ac:dyDescent="0.2">
      <c r="A106" s="15">
        <v>105</v>
      </c>
      <c r="B106" s="3">
        <v>45294</v>
      </c>
      <c r="C106" s="4">
        <v>5.48</v>
      </c>
      <c r="D106" s="16">
        <f t="shared" si="10"/>
        <v>5.4800000000000001E-2</v>
      </c>
      <c r="E106" s="17">
        <f t="shared" si="11"/>
        <v>3.66300366300365E-3</v>
      </c>
      <c r="F106" s="18">
        <f t="shared" si="7"/>
        <v>1.9999999999999879E-4</v>
      </c>
      <c r="G106" s="19">
        <f t="shared" si="8"/>
        <v>1.3072995693831865E-5</v>
      </c>
      <c r="H106" s="20">
        <f t="shared" si="9"/>
        <v>1.8692700430616692E-4</v>
      </c>
      <c r="I106" s="21">
        <f t="shared" si="12"/>
        <v>1293.0621230861843</v>
      </c>
      <c r="J106" s="22">
        <f t="shared" si="13"/>
        <v>7.1647684233146718</v>
      </c>
      <c r="O106" s="4"/>
    </row>
    <row r="107" spans="1:15" x14ac:dyDescent="0.2">
      <c r="A107" s="15">
        <v>106</v>
      </c>
      <c r="B107" s="3">
        <v>45293</v>
      </c>
      <c r="C107" s="4">
        <v>5.46</v>
      </c>
      <c r="D107" s="16">
        <f t="shared" si="10"/>
        <v>5.4600000000000003E-2</v>
      </c>
      <c r="E107" s="17">
        <f t="shared" si="11"/>
        <v>1.1111111111111072E-2</v>
      </c>
      <c r="F107" s="18">
        <f t="shared" si="7"/>
        <v>5.9999999999999637E-4</v>
      </c>
      <c r="G107" s="19">
        <f t="shared" si="8"/>
        <v>3.9450607980293873E-5</v>
      </c>
      <c r="H107" s="20">
        <f t="shared" si="9"/>
        <v>5.6054939201970254E-4</v>
      </c>
      <c r="I107" s="21">
        <f t="shared" si="12"/>
        <v>18.16233832256319</v>
      </c>
      <c r="J107" s="22">
        <f t="shared" si="13"/>
        <v>2.899350127139682</v>
      </c>
      <c r="O107" s="4"/>
    </row>
    <row r="108" spans="1:15" x14ac:dyDescent="0.2">
      <c r="A108" s="15">
        <v>107</v>
      </c>
      <c r="B108" s="3">
        <v>45289</v>
      </c>
      <c r="C108" s="4">
        <v>5.4</v>
      </c>
      <c r="D108" s="16">
        <f t="shared" si="10"/>
        <v>5.4000000000000006E-2</v>
      </c>
      <c r="E108" s="17">
        <f t="shared" si="11"/>
        <v>-9.1743119266053386E-3</v>
      </c>
      <c r="F108" s="18">
        <f t="shared" si="7"/>
        <v>-4.9999999999999351E-4</v>
      </c>
      <c r="G108" s="19">
        <f t="shared" si="8"/>
        <v>1.7469264408242352E-5</v>
      </c>
      <c r="H108" s="20">
        <f t="shared" si="9"/>
        <v>-5.1746926440823587E-4</v>
      </c>
      <c r="I108" s="21">
        <f t="shared" si="12"/>
        <v>36.91646139638565</v>
      </c>
      <c r="J108" s="22">
        <f t="shared" si="13"/>
        <v>3.6086575598728903</v>
      </c>
      <c r="O108" s="4"/>
    </row>
    <row r="109" spans="1:15" x14ac:dyDescent="0.2">
      <c r="A109" s="15">
        <v>108</v>
      </c>
      <c r="B109" s="3">
        <v>45288</v>
      </c>
      <c r="C109" s="4">
        <v>5.45</v>
      </c>
      <c r="D109" s="16">
        <f t="shared" si="10"/>
        <v>5.45E-2</v>
      </c>
      <c r="E109" s="17">
        <f t="shared" si="11"/>
        <v>1.8382352941175295E-3</v>
      </c>
      <c r="F109" s="18">
        <f t="shared" si="7"/>
        <v>9.9999999999995925E-5</v>
      </c>
      <c r="G109" s="19">
        <f t="shared" si="8"/>
        <v>2.1865533122652535E-5</v>
      </c>
      <c r="H109" s="20">
        <f t="shared" si="9"/>
        <v>7.8134466877343394E-5</v>
      </c>
      <c r="I109" s="21">
        <f t="shared" si="12"/>
        <v>2008.6105512580007</v>
      </c>
      <c r="J109" s="22">
        <f t="shared" si="13"/>
        <v>7.6051984939863662</v>
      </c>
      <c r="O109" s="4"/>
    </row>
    <row r="110" spans="1:15" x14ac:dyDescent="0.2">
      <c r="A110" s="15">
        <v>109</v>
      </c>
      <c r="B110" s="3">
        <v>45287</v>
      </c>
      <c r="C110" s="4">
        <v>5.44</v>
      </c>
      <c r="D110" s="16">
        <f t="shared" si="10"/>
        <v>5.4400000000000004E-2</v>
      </c>
      <c r="E110" s="17">
        <f t="shared" si="11"/>
        <v>-1.8348623853210455E-3</v>
      </c>
      <c r="F110" s="18">
        <f t="shared" si="7"/>
        <v>-9.9999999999995925E-5</v>
      </c>
      <c r="G110" s="19">
        <f t="shared" si="8"/>
        <v>1.7469264408242352E-5</v>
      </c>
      <c r="H110" s="20">
        <f t="shared" si="9"/>
        <v>-1.1746926440823827E-4</v>
      </c>
      <c r="I110" s="21">
        <f t="shared" si="12"/>
        <v>1785.9140895942071</v>
      </c>
      <c r="J110" s="22">
        <f t="shared" si="13"/>
        <v>7.4876856581485969</v>
      </c>
      <c r="O110" s="4"/>
    </row>
    <row r="111" spans="1:15" x14ac:dyDescent="0.2">
      <c r="A111" s="15">
        <v>110</v>
      </c>
      <c r="B111" s="3">
        <v>45286</v>
      </c>
      <c r="C111" s="4">
        <v>5.45</v>
      </c>
      <c r="D111" s="16">
        <f t="shared" si="10"/>
        <v>5.45E-2</v>
      </c>
      <c r="E111" s="17">
        <f t="shared" si="11"/>
        <v>1.8382352941175295E-3</v>
      </c>
      <c r="F111" s="18">
        <f t="shared" si="7"/>
        <v>9.9999999999995925E-5</v>
      </c>
      <c r="G111" s="19">
        <f t="shared" si="8"/>
        <v>2.1865533122652535E-5</v>
      </c>
      <c r="H111" s="20">
        <f t="shared" si="9"/>
        <v>7.8134466877343394E-5</v>
      </c>
      <c r="I111" s="21">
        <f t="shared" si="12"/>
        <v>2008.6105512580007</v>
      </c>
      <c r="J111" s="22">
        <f t="shared" si="13"/>
        <v>7.6051984939863662</v>
      </c>
      <c r="O111" s="4"/>
    </row>
    <row r="112" spans="1:15" x14ac:dyDescent="0.2">
      <c r="A112" s="15">
        <v>111</v>
      </c>
      <c r="B112" s="3">
        <v>45282</v>
      </c>
      <c r="C112" s="4">
        <v>5.44</v>
      </c>
      <c r="D112" s="16">
        <f t="shared" si="10"/>
        <v>5.4400000000000004E-2</v>
      </c>
      <c r="E112" s="17">
        <f t="shared" si="11"/>
        <v>3.6900369003691758E-3</v>
      </c>
      <c r="F112" s="18">
        <f t="shared" si="7"/>
        <v>2.0000000000000573E-4</v>
      </c>
      <c r="G112" s="19">
        <f t="shared" si="8"/>
        <v>3.0658070551473508E-5</v>
      </c>
      <c r="H112" s="20">
        <f t="shared" si="9"/>
        <v>1.6934192944853223E-4</v>
      </c>
      <c r="I112" s="21">
        <f t="shared" si="12"/>
        <v>1422.9045669659392</v>
      </c>
      <c r="J112" s="22">
        <f t="shared" si="13"/>
        <v>7.2604555311648369</v>
      </c>
      <c r="O112" s="4"/>
    </row>
    <row r="113" spans="1:15" x14ac:dyDescent="0.2">
      <c r="A113" s="15">
        <v>112</v>
      </c>
      <c r="B113" s="3">
        <v>45281</v>
      </c>
      <c r="C113" s="4">
        <v>5.42</v>
      </c>
      <c r="D113" s="16">
        <f t="shared" si="10"/>
        <v>5.4199999999999998E-2</v>
      </c>
      <c r="E113" s="17">
        <f t="shared" si="11"/>
        <v>-3.6764705882353921E-3</v>
      </c>
      <c r="F113" s="18">
        <f t="shared" si="7"/>
        <v>-2.0000000000000573E-4</v>
      </c>
      <c r="G113" s="19">
        <f t="shared" si="8"/>
        <v>2.1865533122652535E-5</v>
      </c>
      <c r="H113" s="20">
        <f t="shared" si="9"/>
        <v>-2.2186553312265826E-4</v>
      </c>
      <c r="I113" s="21">
        <f t="shared" si="12"/>
        <v>1039.6367547062291</v>
      </c>
      <c r="J113" s="22">
        <f t="shared" si="13"/>
        <v>6.9466266568040025</v>
      </c>
      <c r="O113" s="4"/>
    </row>
    <row r="114" spans="1:15" x14ac:dyDescent="0.2">
      <c r="A114" s="15">
        <v>113</v>
      </c>
      <c r="B114" s="3">
        <v>45280</v>
      </c>
      <c r="C114" s="4">
        <v>5.44</v>
      </c>
      <c r="D114" s="16">
        <f t="shared" si="10"/>
        <v>5.4400000000000004E-2</v>
      </c>
      <c r="E114" s="17">
        <f t="shared" si="11"/>
        <v>1.8416206261511192E-3</v>
      </c>
      <c r="F114" s="18">
        <f t="shared" si="7"/>
        <v>1.000000000000098E-4</v>
      </c>
      <c r="G114" s="19">
        <f t="shared" si="8"/>
        <v>2.6261801837063325E-5</v>
      </c>
      <c r="H114" s="20">
        <f t="shared" si="9"/>
        <v>7.3738198162946479E-5</v>
      </c>
      <c r="I114" s="21">
        <f t="shared" si="12"/>
        <v>2029.1982158534686</v>
      </c>
      <c r="J114" s="22">
        <f t="shared" si="13"/>
        <v>7.6153960264557341</v>
      </c>
      <c r="O114" s="4"/>
    </row>
    <row r="115" spans="1:15" x14ac:dyDescent="0.2">
      <c r="A115" s="15">
        <v>114</v>
      </c>
      <c r="B115" s="3">
        <v>45279</v>
      </c>
      <c r="C115" s="4">
        <v>5.43</v>
      </c>
      <c r="D115" s="16">
        <f t="shared" si="10"/>
        <v>5.4299999999999994E-2</v>
      </c>
      <c r="E115" s="17">
        <f t="shared" si="11"/>
        <v>-5.494505494505697E-3</v>
      </c>
      <c r="F115" s="18">
        <f t="shared" si="7"/>
        <v>-3.0000000000000859E-4</v>
      </c>
      <c r="G115" s="19">
        <f t="shared" si="8"/>
        <v>1.3072995693831865E-5</v>
      </c>
      <c r="H115" s="20">
        <f t="shared" si="9"/>
        <v>-3.1307299569384043E-4</v>
      </c>
      <c r="I115" s="21">
        <f t="shared" si="12"/>
        <v>493.45874208510452</v>
      </c>
      <c r="J115" s="22">
        <f t="shared" si="13"/>
        <v>6.2014392527142101</v>
      </c>
      <c r="O115" s="4"/>
    </row>
    <row r="116" spans="1:15" x14ac:dyDescent="0.2">
      <c r="A116" s="15">
        <v>115</v>
      </c>
      <c r="B116" s="3">
        <v>45278</v>
      </c>
      <c r="C116" s="4">
        <v>5.46</v>
      </c>
      <c r="D116" s="16">
        <f t="shared" si="10"/>
        <v>5.4600000000000003E-2</v>
      </c>
      <c r="E116" s="17">
        <f t="shared" si="11"/>
        <v>3.6764705882352811E-3</v>
      </c>
      <c r="F116" s="18">
        <f t="shared" si="7"/>
        <v>1.9999999999999879E-4</v>
      </c>
      <c r="G116" s="19">
        <f t="shared" si="8"/>
        <v>2.1865533122652535E-5</v>
      </c>
      <c r="H116" s="20">
        <f t="shared" si="9"/>
        <v>1.7813446687734626E-4</v>
      </c>
      <c r="I116" s="21">
        <f t="shared" si="12"/>
        <v>1358.0331680327347</v>
      </c>
      <c r="J116" s="22">
        <f t="shared" si="13"/>
        <v>7.2137927319976471</v>
      </c>
      <c r="O116" s="4"/>
    </row>
    <row r="117" spans="1:15" x14ac:dyDescent="0.2">
      <c r="A117" s="15">
        <v>116</v>
      </c>
      <c r="B117" s="3">
        <v>45275</v>
      </c>
      <c r="C117" s="4">
        <v>5.44</v>
      </c>
      <c r="D117" s="16">
        <f t="shared" si="10"/>
        <v>5.4400000000000004E-2</v>
      </c>
      <c r="E117" s="17">
        <f t="shared" si="11"/>
        <v>1.8416206261511192E-3</v>
      </c>
      <c r="F117" s="18">
        <f t="shared" si="7"/>
        <v>1.000000000000098E-4</v>
      </c>
      <c r="G117" s="19">
        <f t="shared" si="8"/>
        <v>2.6261801837063325E-5</v>
      </c>
      <c r="H117" s="20">
        <f t="shared" si="9"/>
        <v>7.3738198162946479E-5</v>
      </c>
      <c r="I117" s="21">
        <f t="shared" si="12"/>
        <v>2029.1982158534686</v>
      </c>
      <c r="J117" s="22">
        <f t="shared" si="13"/>
        <v>7.6153960264557341</v>
      </c>
      <c r="O117" s="4"/>
    </row>
    <row r="118" spans="1:15" x14ac:dyDescent="0.2">
      <c r="A118" s="15">
        <v>117</v>
      </c>
      <c r="B118" s="3">
        <v>45274</v>
      </c>
      <c r="C118" s="4">
        <v>5.43</v>
      </c>
      <c r="D118" s="16">
        <f t="shared" si="10"/>
        <v>5.4299999999999994E-2</v>
      </c>
      <c r="E118" s="17">
        <f t="shared" si="11"/>
        <v>-1.8382352941178626E-3</v>
      </c>
      <c r="F118" s="18">
        <f t="shared" si="7"/>
        <v>-1.000000000000098E-4</v>
      </c>
      <c r="G118" s="19">
        <f t="shared" si="8"/>
        <v>2.1865533122652535E-5</v>
      </c>
      <c r="H118" s="20">
        <f t="shared" si="9"/>
        <v>-1.2186553312266234E-4</v>
      </c>
      <c r="I118" s="21">
        <f t="shared" si="12"/>
        <v>1757.4434668877734</v>
      </c>
      <c r="J118" s="22">
        <f t="shared" si="13"/>
        <v>7.4716154563895198</v>
      </c>
      <c r="O118" s="4"/>
    </row>
    <row r="119" spans="1:15" x14ac:dyDescent="0.2">
      <c r="A119" s="15">
        <v>118</v>
      </c>
      <c r="B119" s="3">
        <v>45273</v>
      </c>
      <c r="C119" s="4">
        <v>5.44</v>
      </c>
      <c r="D119" s="16">
        <f t="shared" si="10"/>
        <v>5.4400000000000004E-2</v>
      </c>
      <c r="E119" s="17">
        <f t="shared" si="11"/>
        <v>-3.66300366300365E-3</v>
      </c>
      <c r="F119" s="18">
        <f t="shared" si="7"/>
        <v>-1.9999999999999879E-4</v>
      </c>
      <c r="G119" s="19">
        <f t="shared" si="8"/>
        <v>1.3072995693831865E-5</v>
      </c>
      <c r="H119" s="20">
        <f t="shared" si="9"/>
        <v>-2.1307299569383066E-4</v>
      </c>
      <c r="I119" s="21">
        <f t="shared" si="12"/>
        <v>1102.1684037972398</v>
      </c>
      <c r="J119" s="22">
        <f t="shared" si="13"/>
        <v>7.0050347945505278</v>
      </c>
      <c r="O119" s="4"/>
    </row>
    <row r="120" spans="1:15" x14ac:dyDescent="0.2">
      <c r="A120" s="15">
        <v>119</v>
      </c>
      <c r="B120" s="3">
        <v>45272</v>
      </c>
      <c r="C120" s="4">
        <v>5.46</v>
      </c>
      <c r="D120" s="16">
        <f t="shared" si="10"/>
        <v>5.4600000000000003E-2</v>
      </c>
      <c r="E120" s="17">
        <f t="shared" si="11"/>
        <v>-1.8281535648994041E-3</v>
      </c>
      <c r="F120" s="18">
        <f t="shared" si="7"/>
        <v>-9.9999999999995925E-5</v>
      </c>
      <c r="G120" s="19">
        <f t="shared" si="8"/>
        <v>8.6767269794216835E-6</v>
      </c>
      <c r="H120" s="20">
        <f t="shared" si="9"/>
        <v>-1.0867672697941761E-4</v>
      </c>
      <c r="I120" s="21">
        <f t="shared" si="12"/>
        <v>1840.9829676931183</v>
      </c>
      <c r="J120" s="22">
        <f t="shared" si="13"/>
        <v>7.5180549295298347</v>
      </c>
      <c r="O120" s="4"/>
    </row>
    <row r="121" spans="1:15" x14ac:dyDescent="0.2">
      <c r="A121" s="15">
        <v>120</v>
      </c>
      <c r="B121" s="3">
        <v>45271</v>
      </c>
      <c r="C121" s="4">
        <v>5.47</v>
      </c>
      <c r="D121" s="16">
        <f t="shared" si="10"/>
        <v>5.4699999999999999E-2</v>
      </c>
      <c r="E121" s="17">
        <f t="shared" si="11"/>
        <v>5.5147058823528106E-3</v>
      </c>
      <c r="F121" s="18">
        <f t="shared" si="7"/>
        <v>2.9999999999999472E-4</v>
      </c>
      <c r="G121" s="19">
        <f t="shared" si="8"/>
        <v>2.1865533122652535E-5</v>
      </c>
      <c r="H121" s="20">
        <f t="shared" si="9"/>
        <v>2.7813446687734216E-4</v>
      </c>
      <c r="I121" s="21">
        <f t="shared" si="12"/>
        <v>676.49301080344912</v>
      </c>
      <c r="J121" s="22">
        <f t="shared" si="13"/>
        <v>6.5169221161508943</v>
      </c>
      <c r="O121" s="4"/>
    </row>
    <row r="122" spans="1:15" x14ac:dyDescent="0.2">
      <c r="A122" s="15">
        <v>121</v>
      </c>
      <c r="B122" s="3">
        <v>45268</v>
      </c>
      <c r="C122" s="4">
        <v>5.44</v>
      </c>
      <c r="D122" s="16">
        <f t="shared" si="10"/>
        <v>5.4400000000000004E-2</v>
      </c>
      <c r="E122" s="17">
        <f t="shared" si="11"/>
        <v>0</v>
      </c>
      <c r="F122" s="18">
        <f t="shared" si="7"/>
        <v>0</v>
      </c>
      <c r="G122" s="19">
        <f t="shared" si="8"/>
        <v>2.1865533122652535E-5</v>
      </c>
      <c r="H122" s="20">
        <f t="shared" si="9"/>
        <v>-2.1865533122652535E-5</v>
      </c>
      <c r="I122" s="21">
        <f t="shared" si="12"/>
        <v>2188.8671417885362</v>
      </c>
      <c r="J122" s="22">
        <f t="shared" si="13"/>
        <v>7.6911394021169945</v>
      </c>
      <c r="O122" s="4"/>
    </row>
    <row r="123" spans="1:15" x14ac:dyDescent="0.2">
      <c r="A123" s="15">
        <v>122</v>
      </c>
      <c r="B123" s="3">
        <v>45267</v>
      </c>
      <c r="C123" s="4">
        <v>5.44</v>
      </c>
      <c r="D123" s="16">
        <f t="shared" si="10"/>
        <v>5.4400000000000004E-2</v>
      </c>
      <c r="E123" s="17">
        <f t="shared" si="11"/>
        <v>-1.8348623853210455E-3</v>
      </c>
      <c r="F123" s="18">
        <f t="shared" si="7"/>
        <v>-9.9999999999995925E-5</v>
      </c>
      <c r="G123" s="19">
        <f t="shared" si="8"/>
        <v>1.7469264408242352E-5</v>
      </c>
      <c r="H123" s="20">
        <f t="shared" si="9"/>
        <v>-1.1746926440823827E-4</v>
      </c>
      <c r="I123" s="21">
        <f t="shared" si="12"/>
        <v>1785.9140895942071</v>
      </c>
      <c r="J123" s="22">
        <f t="shared" si="13"/>
        <v>7.4876856581485969</v>
      </c>
      <c r="O123" s="4"/>
    </row>
    <row r="124" spans="1:15" x14ac:dyDescent="0.2">
      <c r="A124" s="15">
        <v>123</v>
      </c>
      <c r="B124" s="3">
        <v>45266</v>
      </c>
      <c r="C124" s="4">
        <v>5.45</v>
      </c>
      <c r="D124" s="16">
        <f t="shared" si="10"/>
        <v>5.45E-2</v>
      </c>
      <c r="E124" s="17">
        <f t="shared" si="11"/>
        <v>0</v>
      </c>
      <c r="F124" s="18">
        <f t="shared" si="7"/>
        <v>0</v>
      </c>
      <c r="G124" s="19">
        <f t="shared" si="8"/>
        <v>1.7469264408242352E-5</v>
      </c>
      <c r="H124" s="20">
        <f t="shared" si="9"/>
        <v>-1.7469264408242352E-5</v>
      </c>
      <c r="I124" s="21">
        <f t="shared" si="12"/>
        <v>2194.6559005001559</v>
      </c>
      <c r="J124" s="22">
        <f t="shared" si="13"/>
        <v>7.6937805480723389</v>
      </c>
      <c r="O124" s="4"/>
    </row>
    <row r="125" spans="1:15" x14ac:dyDescent="0.2">
      <c r="A125" s="15">
        <v>124</v>
      </c>
      <c r="B125" s="3">
        <v>45265</v>
      </c>
      <c r="C125" s="4">
        <v>5.45</v>
      </c>
      <c r="D125" s="16">
        <f t="shared" si="10"/>
        <v>5.45E-2</v>
      </c>
      <c r="E125" s="17">
        <f t="shared" si="11"/>
        <v>-1.831501831501936E-3</v>
      </c>
      <c r="F125" s="18">
        <f t="shared" si="7"/>
        <v>-1.0000000000000286E-4</v>
      </c>
      <c r="G125" s="19">
        <f t="shared" si="8"/>
        <v>1.3072995693831865E-5</v>
      </c>
      <c r="H125" s="20">
        <f t="shared" si="9"/>
        <v>-1.1307299569383473E-4</v>
      </c>
      <c r="I125" s="21">
        <f t="shared" si="12"/>
        <v>1813.7748092411898</v>
      </c>
      <c r="J125" s="22">
        <f t="shared" si="13"/>
        <v>7.5031654825286616</v>
      </c>
      <c r="O125" s="4"/>
    </row>
    <row r="126" spans="1:15" x14ac:dyDescent="0.2">
      <c r="A126" s="15">
        <v>125</v>
      </c>
      <c r="B126" s="3">
        <v>45264</v>
      </c>
      <c r="C126" s="4">
        <v>5.46</v>
      </c>
      <c r="D126" s="16">
        <f t="shared" si="10"/>
        <v>5.4600000000000003E-2</v>
      </c>
      <c r="E126" s="17">
        <f t="shared" si="11"/>
        <v>5.5248618784531356E-3</v>
      </c>
      <c r="F126" s="18">
        <f t="shared" si="7"/>
        <v>3.0000000000000859E-4</v>
      </c>
      <c r="G126" s="19">
        <f t="shared" si="8"/>
        <v>2.6261801837063325E-5</v>
      </c>
      <c r="H126" s="20">
        <f t="shared" si="9"/>
        <v>2.737381981629453E-4</v>
      </c>
      <c r="I126" s="21">
        <f t="shared" si="12"/>
        <v>702.03113874420956</v>
      </c>
      <c r="J126" s="22">
        <f t="shared" si="13"/>
        <v>6.5539777602275437</v>
      </c>
      <c r="O126" s="4"/>
    </row>
    <row r="127" spans="1:15" x14ac:dyDescent="0.2">
      <c r="A127" s="15">
        <v>126</v>
      </c>
      <c r="B127" s="3">
        <v>45261</v>
      </c>
      <c r="C127" s="4">
        <v>5.43</v>
      </c>
      <c r="D127" s="16">
        <f t="shared" si="10"/>
        <v>5.4299999999999994E-2</v>
      </c>
      <c r="E127" s="17">
        <f t="shared" si="11"/>
        <v>-3.6697247706423131E-3</v>
      </c>
      <c r="F127" s="18">
        <f t="shared" si="7"/>
        <v>-2.0000000000000573E-4</v>
      </c>
      <c r="G127" s="19">
        <f t="shared" si="8"/>
        <v>1.7469264408242352E-5</v>
      </c>
      <c r="H127" s="20">
        <f t="shared" si="9"/>
        <v>-2.1746926440824809E-4</v>
      </c>
      <c r="I127" s="21">
        <f t="shared" si="12"/>
        <v>1070.7620972639563</v>
      </c>
      <c r="J127" s="22">
        <f t="shared" si="13"/>
        <v>6.9761259143667109</v>
      </c>
      <c r="O127" s="4"/>
    </row>
    <row r="128" spans="1:15" x14ac:dyDescent="0.2">
      <c r="A128" s="15">
        <v>127</v>
      </c>
      <c r="B128" s="3">
        <v>45260</v>
      </c>
      <c r="C128" s="4">
        <v>5.45</v>
      </c>
      <c r="D128" s="16">
        <f t="shared" si="10"/>
        <v>5.45E-2</v>
      </c>
      <c r="E128" s="17">
        <f t="shared" si="11"/>
        <v>0</v>
      </c>
      <c r="F128" s="18">
        <f t="shared" si="7"/>
        <v>0</v>
      </c>
      <c r="G128" s="19">
        <f t="shared" si="8"/>
        <v>1.7469264408242352E-5</v>
      </c>
      <c r="H128" s="20">
        <f t="shared" si="9"/>
        <v>-1.7469264408242352E-5</v>
      </c>
      <c r="I128" s="21">
        <f t="shared" si="12"/>
        <v>2194.6559005001559</v>
      </c>
      <c r="J128" s="22">
        <f t="shared" si="13"/>
        <v>7.6937805480723389</v>
      </c>
      <c r="O128" s="4"/>
    </row>
    <row r="129" spans="1:15" x14ac:dyDescent="0.2">
      <c r="A129" s="15">
        <v>128</v>
      </c>
      <c r="B129" s="3">
        <v>45259</v>
      </c>
      <c r="C129" s="4">
        <v>5.45</v>
      </c>
      <c r="D129" s="16">
        <f t="shared" si="10"/>
        <v>5.45E-2</v>
      </c>
      <c r="E129" s="17">
        <f t="shared" si="11"/>
        <v>-3.6563071297989191E-3</v>
      </c>
      <c r="F129" s="18">
        <f t="shared" si="7"/>
        <v>-1.9999999999999879E-4</v>
      </c>
      <c r="G129" s="19">
        <f t="shared" si="8"/>
        <v>8.6767269794216835E-6</v>
      </c>
      <c r="H129" s="20">
        <f t="shared" si="9"/>
        <v>-2.0867672697942046E-4</v>
      </c>
      <c r="I129" s="21">
        <f t="shared" si="12"/>
        <v>1133.8262993234048</v>
      </c>
      <c r="J129" s="22">
        <f t="shared" si="13"/>
        <v>7.033353297355359</v>
      </c>
      <c r="O129" s="4"/>
    </row>
    <row r="130" spans="1:15" x14ac:dyDescent="0.2">
      <c r="A130" s="15">
        <v>129</v>
      </c>
      <c r="B130" s="3">
        <v>45258</v>
      </c>
      <c r="C130" s="4">
        <v>5.47</v>
      </c>
      <c r="D130" s="16">
        <f t="shared" si="10"/>
        <v>5.4699999999999999E-2</v>
      </c>
      <c r="E130" s="17">
        <f t="shared" si="11"/>
        <v>-3.6429872495447047E-3</v>
      </c>
      <c r="F130" s="18">
        <f t="shared" ref="F130:F193" si="14">D130-D131</f>
        <v>-2.0000000000000573E-4</v>
      </c>
      <c r="G130" s="19">
        <f t="shared" ref="G130:G193" si="15">$O$2*($O$3-D131)*$O$7</f>
        <v>-1.158104493992904E-7</v>
      </c>
      <c r="H130" s="20">
        <f t="shared" ref="H130:H193" si="16">F130-G130</f>
        <v>-1.9988418955060644E-4</v>
      </c>
      <c r="I130" s="21">
        <f t="shared" si="12"/>
        <v>1197.7728713323932</v>
      </c>
      <c r="J130" s="22">
        <f t="shared" si="13"/>
        <v>7.088219170828169</v>
      </c>
      <c r="O130" s="4"/>
    </row>
    <row r="131" spans="1:15" x14ac:dyDescent="0.2">
      <c r="A131" s="15">
        <v>130</v>
      </c>
      <c r="B131" s="3">
        <v>45257</v>
      </c>
      <c r="C131" s="4">
        <v>5.49</v>
      </c>
      <c r="D131" s="16">
        <f t="shared" ref="D131:D194" si="17">C131/100</f>
        <v>5.4900000000000004E-2</v>
      </c>
      <c r="E131" s="17">
        <f t="shared" ref="E131:E194" si="18">(D131/D132-1)</f>
        <v>-9.0252707581226499E-3</v>
      </c>
      <c r="F131" s="18">
        <f t="shared" si="14"/>
        <v>-4.9999999999999351E-4</v>
      </c>
      <c r="G131" s="19">
        <f t="shared" si="15"/>
        <v>-2.2097154021450811E-5</v>
      </c>
      <c r="H131" s="20">
        <f t="shared" si="16"/>
        <v>-4.7790284597854269E-4</v>
      </c>
      <c r="I131" s="21">
        <f t="shared" ref="I131:I194" si="19">NORMDIST(H131,0,$O$4,FALSE)</f>
        <v>67.36788378065124</v>
      </c>
      <c r="J131" s="22">
        <f t="shared" ref="J131:J194" si="20">LN(I131)</f>
        <v>4.210168402584463</v>
      </c>
      <c r="O131" s="4"/>
    </row>
    <row r="132" spans="1:15" x14ac:dyDescent="0.2">
      <c r="A132" s="15">
        <v>131</v>
      </c>
      <c r="B132" s="3">
        <v>45254</v>
      </c>
      <c r="C132" s="4">
        <v>5.54</v>
      </c>
      <c r="D132" s="16">
        <f t="shared" si="17"/>
        <v>5.5399999999999998E-2</v>
      </c>
      <c r="E132" s="17">
        <f t="shared" si="18"/>
        <v>0</v>
      </c>
      <c r="F132" s="18">
        <f t="shared" si="14"/>
        <v>0</v>
      </c>
      <c r="G132" s="19">
        <f t="shared" si="15"/>
        <v>-2.2097154021450811E-5</v>
      </c>
      <c r="H132" s="20">
        <f t="shared" si="16"/>
        <v>2.2097154021450811E-5</v>
      </c>
      <c r="I132" s="21">
        <f t="shared" si="19"/>
        <v>2188.5267501711483</v>
      </c>
      <c r="J132" s="22">
        <f t="shared" si="20"/>
        <v>7.6909838796182317</v>
      </c>
      <c r="O132" s="4"/>
    </row>
    <row r="133" spans="1:15" x14ac:dyDescent="0.2">
      <c r="A133" s="15">
        <v>132</v>
      </c>
      <c r="B133" s="3">
        <v>45252</v>
      </c>
      <c r="C133" s="4">
        <v>5.54</v>
      </c>
      <c r="D133" s="16">
        <f t="shared" si="17"/>
        <v>5.5399999999999998E-2</v>
      </c>
      <c r="E133" s="17">
        <f t="shared" si="18"/>
        <v>1.8083182640142859E-3</v>
      </c>
      <c r="F133" s="18">
        <f t="shared" si="14"/>
        <v>9.9999999999995925E-5</v>
      </c>
      <c r="G133" s="19">
        <f t="shared" si="15"/>
        <v>-1.7700885307040628E-5</v>
      </c>
      <c r="H133" s="20">
        <f t="shared" si="16"/>
        <v>1.1770088530703656E-4</v>
      </c>
      <c r="I133" s="21">
        <f t="shared" si="19"/>
        <v>1784.4289368777449</v>
      </c>
      <c r="J133" s="22">
        <f t="shared" si="20"/>
        <v>7.4868537197095675</v>
      </c>
      <c r="O133" s="4"/>
    </row>
    <row r="134" spans="1:15" x14ac:dyDescent="0.2">
      <c r="A134" s="15">
        <v>133</v>
      </c>
      <c r="B134" s="3">
        <v>45251</v>
      </c>
      <c r="C134" s="4">
        <v>5.53</v>
      </c>
      <c r="D134" s="16">
        <f t="shared" si="17"/>
        <v>5.5300000000000002E-2</v>
      </c>
      <c r="E134" s="17">
        <f t="shared" si="18"/>
        <v>-1.8050541516244634E-3</v>
      </c>
      <c r="F134" s="18">
        <f t="shared" si="14"/>
        <v>-9.9999999999995925E-5</v>
      </c>
      <c r="G134" s="19">
        <f t="shared" si="15"/>
        <v>-2.2097154021450811E-5</v>
      </c>
      <c r="H134" s="20">
        <f t="shared" si="16"/>
        <v>-7.7902845978545111E-5</v>
      </c>
      <c r="I134" s="21">
        <f t="shared" si="19"/>
        <v>2009.719606216946</v>
      </c>
      <c r="J134" s="22">
        <f t="shared" si="20"/>
        <v>7.6057504919276218</v>
      </c>
      <c r="O134" s="4"/>
    </row>
    <row r="135" spans="1:15" x14ac:dyDescent="0.2">
      <c r="A135" s="15">
        <v>134</v>
      </c>
      <c r="B135" s="3">
        <v>45250</v>
      </c>
      <c r="C135" s="4">
        <v>5.54</v>
      </c>
      <c r="D135" s="16">
        <f t="shared" si="17"/>
        <v>5.5399999999999998E-2</v>
      </c>
      <c r="E135" s="17">
        <f t="shared" si="18"/>
        <v>7.2727272727273196E-3</v>
      </c>
      <c r="F135" s="18">
        <f t="shared" si="14"/>
        <v>3.9999999999999758E-4</v>
      </c>
      <c r="G135" s="19">
        <f t="shared" si="15"/>
        <v>-4.5120791638094724E-6</v>
      </c>
      <c r="H135" s="20">
        <f t="shared" si="16"/>
        <v>4.0451207916380707E-4</v>
      </c>
      <c r="I135" s="21">
        <f t="shared" si="19"/>
        <v>181.1418674287722</v>
      </c>
      <c r="J135" s="22">
        <f t="shared" si="20"/>
        <v>5.1992805222056431</v>
      </c>
      <c r="O135" s="4"/>
    </row>
    <row r="136" spans="1:15" x14ac:dyDescent="0.2">
      <c r="A136" s="15">
        <v>135</v>
      </c>
      <c r="B136" s="3">
        <v>45247</v>
      </c>
      <c r="C136" s="4">
        <v>5.5</v>
      </c>
      <c r="D136" s="16">
        <f t="shared" si="17"/>
        <v>5.5E-2</v>
      </c>
      <c r="E136" s="17">
        <f t="shared" si="18"/>
        <v>-1.814882032667775E-3</v>
      </c>
      <c r="F136" s="18">
        <f t="shared" si="14"/>
        <v>-9.9999999999995925E-5</v>
      </c>
      <c r="G136" s="19">
        <f t="shared" si="15"/>
        <v>-8.9083478782196544E-6</v>
      </c>
      <c r="H136" s="20">
        <f t="shared" si="16"/>
        <v>-9.1091652121776269E-5</v>
      </c>
      <c r="I136" s="21">
        <f t="shared" si="19"/>
        <v>1942.4569964460861</v>
      </c>
      <c r="J136" s="22">
        <f t="shared" si="20"/>
        <v>7.5717089437450547</v>
      </c>
      <c r="O136" s="4"/>
    </row>
    <row r="137" spans="1:15" x14ac:dyDescent="0.2">
      <c r="A137" s="15">
        <v>136</v>
      </c>
      <c r="B137" s="3">
        <v>45246</v>
      </c>
      <c r="C137" s="4">
        <v>5.51</v>
      </c>
      <c r="D137" s="16">
        <f t="shared" si="17"/>
        <v>5.5099999999999996E-2</v>
      </c>
      <c r="E137" s="17">
        <f t="shared" si="18"/>
        <v>-3.6166365280290158E-3</v>
      </c>
      <c r="F137" s="18">
        <f t="shared" si="14"/>
        <v>-2.0000000000000573E-4</v>
      </c>
      <c r="G137" s="19">
        <f t="shared" si="15"/>
        <v>-1.7700885307040628E-5</v>
      </c>
      <c r="H137" s="20">
        <f t="shared" si="16"/>
        <v>-1.8229911469296511E-4</v>
      </c>
      <c r="I137" s="21">
        <f t="shared" si="19"/>
        <v>1327.2526249883215</v>
      </c>
      <c r="J137" s="22">
        <f t="shared" si="20"/>
        <v>7.1908663892266178</v>
      </c>
      <c r="O137" s="4"/>
    </row>
    <row r="138" spans="1:15" x14ac:dyDescent="0.2">
      <c r="A138" s="15">
        <v>137</v>
      </c>
      <c r="B138" s="3">
        <v>45245</v>
      </c>
      <c r="C138" s="4">
        <v>5.53</v>
      </c>
      <c r="D138" s="16">
        <f t="shared" si="17"/>
        <v>5.5300000000000002E-2</v>
      </c>
      <c r="E138" s="17">
        <f t="shared" si="18"/>
        <v>1.8115942028986698E-3</v>
      </c>
      <c r="F138" s="18">
        <f t="shared" si="14"/>
        <v>1.0000000000000286E-4</v>
      </c>
      <c r="G138" s="19">
        <f t="shared" si="15"/>
        <v>-1.3304616592630141E-5</v>
      </c>
      <c r="H138" s="20">
        <f t="shared" si="16"/>
        <v>1.13304616592633E-4</v>
      </c>
      <c r="I138" s="21">
        <f t="shared" si="19"/>
        <v>1812.3228582791476</v>
      </c>
      <c r="J138" s="22">
        <f t="shared" si="20"/>
        <v>7.5023646485893849</v>
      </c>
      <c r="O138" s="4"/>
    </row>
    <row r="139" spans="1:15" x14ac:dyDescent="0.2">
      <c r="A139" s="15">
        <v>138</v>
      </c>
      <c r="B139" s="3">
        <v>45244</v>
      </c>
      <c r="C139" s="4">
        <v>5.52</v>
      </c>
      <c r="D139" s="16">
        <f t="shared" si="17"/>
        <v>5.5199999999999999E-2</v>
      </c>
      <c r="E139" s="17">
        <f t="shared" si="18"/>
        <v>-5.4054054054054612E-3</v>
      </c>
      <c r="F139" s="18">
        <f t="shared" si="14"/>
        <v>-3.0000000000000165E-4</v>
      </c>
      <c r="G139" s="19">
        <f t="shared" si="15"/>
        <v>-2.6493422735861296E-5</v>
      </c>
      <c r="H139" s="20">
        <f t="shared" si="16"/>
        <v>-2.7350657726414037E-4</v>
      </c>
      <c r="I139" s="21">
        <f t="shared" si="19"/>
        <v>703.39154132067245</v>
      </c>
      <c r="J139" s="22">
        <f t="shared" si="20"/>
        <v>6.5559136945491403</v>
      </c>
      <c r="O139" s="4"/>
    </row>
    <row r="140" spans="1:15" x14ac:dyDescent="0.2">
      <c r="A140" s="15">
        <v>139</v>
      </c>
      <c r="B140" s="3">
        <v>45243</v>
      </c>
      <c r="C140" s="4">
        <v>5.55</v>
      </c>
      <c r="D140" s="16">
        <f t="shared" si="17"/>
        <v>5.5500000000000001E-2</v>
      </c>
      <c r="E140" s="17">
        <f t="shared" si="18"/>
        <v>3.6166365280290158E-3</v>
      </c>
      <c r="F140" s="18">
        <f t="shared" si="14"/>
        <v>1.9999999999999879E-4</v>
      </c>
      <c r="G140" s="19">
        <f t="shared" si="15"/>
        <v>-1.7700885307040628E-5</v>
      </c>
      <c r="H140" s="20">
        <f t="shared" si="16"/>
        <v>2.1770088530703941E-4</v>
      </c>
      <c r="I140" s="21">
        <f t="shared" si="19"/>
        <v>1069.1149712127346</v>
      </c>
      <c r="J140" s="22">
        <f t="shared" si="20"/>
        <v>6.9745864554877084</v>
      </c>
      <c r="O140" s="4"/>
    </row>
    <row r="141" spans="1:15" x14ac:dyDescent="0.2">
      <c r="A141" s="15">
        <v>140</v>
      </c>
      <c r="B141" s="3">
        <v>45240</v>
      </c>
      <c r="C141" s="4">
        <v>5.53</v>
      </c>
      <c r="D141" s="16">
        <f t="shared" si="17"/>
        <v>5.5300000000000002E-2</v>
      </c>
      <c r="E141" s="17">
        <f t="shared" si="18"/>
        <v>-1.8050541516244634E-3</v>
      </c>
      <c r="F141" s="18">
        <f t="shared" si="14"/>
        <v>-9.9999999999995925E-5</v>
      </c>
      <c r="G141" s="19">
        <f t="shared" si="15"/>
        <v>-2.2097154021450811E-5</v>
      </c>
      <c r="H141" s="20">
        <f t="shared" si="16"/>
        <v>-7.7902845978545111E-5</v>
      </c>
      <c r="I141" s="21">
        <f t="shared" si="19"/>
        <v>2009.719606216946</v>
      </c>
      <c r="J141" s="22">
        <f t="shared" si="20"/>
        <v>7.6057504919276218</v>
      </c>
      <c r="O141" s="4"/>
    </row>
    <row r="142" spans="1:15" x14ac:dyDescent="0.2">
      <c r="A142" s="15">
        <v>141</v>
      </c>
      <c r="B142" s="3">
        <v>45239</v>
      </c>
      <c r="C142" s="4">
        <v>5.54</v>
      </c>
      <c r="D142" s="16">
        <f t="shared" si="17"/>
        <v>5.5399999999999998E-2</v>
      </c>
      <c r="E142" s="17">
        <f t="shared" si="18"/>
        <v>0</v>
      </c>
      <c r="F142" s="18">
        <f t="shared" si="14"/>
        <v>0</v>
      </c>
      <c r="G142" s="19">
        <f t="shared" si="15"/>
        <v>-2.2097154021450811E-5</v>
      </c>
      <c r="H142" s="20">
        <f t="shared" si="16"/>
        <v>2.2097154021450811E-5</v>
      </c>
      <c r="I142" s="21">
        <f t="shared" si="19"/>
        <v>2188.5267501711483</v>
      </c>
      <c r="J142" s="22">
        <f t="shared" si="20"/>
        <v>7.6909838796182317</v>
      </c>
      <c r="O142" s="4"/>
    </row>
    <row r="143" spans="1:15" x14ac:dyDescent="0.2">
      <c r="A143" s="15">
        <v>142</v>
      </c>
      <c r="B143" s="3">
        <v>45238</v>
      </c>
      <c r="C143" s="4">
        <v>5.54</v>
      </c>
      <c r="D143" s="16">
        <f t="shared" si="17"/>
        <v>5.5399999999999998E-2</v>
      </c>
      <c r="E143" s="17">
        <f t="shared" si="18"/>
        <v>-1.8018018018018944E-3</v>
      </c>
      <c r="F143" s="18">
        <f t="shared" si="14"/>
        <v>-1.0000000000000286E-4</v>
      </c>
      <c r="G143" s="19">
        <f t="shared" si="15"/>
        <v>-2.6493422735861296E-5</v>
      </c>
      <c r="H143" s="20">
        <f t="shared" si="16"/>
        <v>-7.3506577264141569E-5</v>
      </c>
      <c r="I143" s="21">
        <f t="shared" si="19"/>
        <v>2030.2554872346052</v>
      </c>
      <c r="J143" s="22">
        <f t="shared" si="20"/>
        <v>7.6159169198972521</v>
      </c>
      <c r="O143" s="4"/>
    </row>
    <row r="144" spans="1:15" x14ac:dyDescent="0.2">
      <c r="A144" s="15">
        <v>143</v>
      </c>
      <c r="B144" s="3">
        <v>45237</v>
      </c>
      <c r="C144" s="4">
        <v>5.55</v>
      </c>
      <c r="D144" s="16">
        <f t="shared" si="17"/>
        <v>5.5500000000000001E-2</v>
      </c>
      <c r="E144" s="17">
        <f t="shared" si="18"/>
        <v>-1.7985611510790145E-3</v>
      </c>
      <c r="F144" s="18">
        <f t="shared" si="14"/>
        <v>-9.9999999999995925E-5</v>
      </c>
      <c r="G144" s="19">
        <f t="shared" si="15"/>
        <v>-3.0889691450271478E-5</v>
      </c>
      <c r="H144" s="20">
        <f t="shared" si="16"/>
        <v>-6.9110308549724447E-5</v>
      </c>
      <c r="I144" s="21">
        <f t="shared" si="19"/>
        <v>2049.7907023138209</v>
      </c>
      <c r="J144" s="22">
        <f t="shared" si="20"/>
        <v>7.6254929704879757</v>
      </c>
      <c r="O144" s="4"/>
    </row>
    <row r="145" spans="1:15" x14ac:dyDescent="0.2">
      <c r="A145" s="15">
        <v>144</v>
      </c>
      <c r="B145" s="3">
        <v>45236</v>
      </c>
      <c r="C145" s="4">
        <v>5.56</v>
      </c>
      <c r="D145" s="16">
        <f t="shared" si="17"/>
        <v>5.5599999999999997E-2</v>
      </c>
      <c r="E145" s="17">
        <f t="shared" si="18"/>
        <v>5.4249547920433017E-3</v>
      </c>
      <c r="F145" s="18">
        <f t="shared" si="14"/>
        <v>2.9999999999999472E-4</v>
      </c>
      <c r="G145" s="19">
        <f t="shared" si="15"/>
        <v>-1.7700885307040628E-5</v>
      </c>
      <c r="H145" s="20">
        <f t="shared" si="16"/>
        <v>3.1770088530703533E-4</v>
      </c>
      <c r="I145" s="21">
        <f t="shared" si="19"/>
        <v>471.94116972672936</v>
      </c>
      <c r="J145" s="22">
        <f t="shared" si="20"/>
        <v>6.1568543374078226</v>
      </c>
      <c r="O145" s="4"/>
    </row>
    <row r="146" spans="1:15" x14ac:dyDescent="0.2">
      <c r="A146" s="15">
        <v>145</v>
      </c>
      <c r="B146" s="3">
        <v>45233</v>
      </c>
      <c r="C146" s="4">
        <v>5.53</v>
      </c>
      <c r="D146" s="16">
        <f t="shared" si="17"/>
        <v>5.5300000000000002E-2</v>
      </c>
      <c r="E146" s="17">
        <f t="shared" si="18"/>
        <v>-1.8050541516244634E-3</v>
      </c>
      <c r="F146" s="18">
        <f t="shared" si="14"/>
        <v>-9.9999999999995925E-5</v>
      </c>
      <c r="G146" s="19">
        <f t="shared" si="15"/>
        <v>-2.2097154021450811E-5</v>
      </c>
      <c r="H146" s="20">
        <f t="shared" si="16"/>
        <v>-7.7902845978545111E-5</v>
      </c>
      <c r="I146" s="21">
        <f t="shared" si="19"/>
        <v>2009.719606216946</v>
      </c>
      <c r="J146" s="22">
        <f t="shared" si="20"/>
        <v>7.6057504919276218</v>
      </c>
      <c r="O146" s="4"/>
    </row>
    <row r="147" spans="1:15" x14ac:dyDescent="0.2">
      <c r="A147" s="15">
        <v>146</v>
      </c>
      <c r="B147" s="3">
        <v>45232</v>
      </c>
      <c r="C147" s="4">
        <v>5.54</v>
      </c>
      <c r="D147" s="16">
        <f t="shared" si="17"/>
        <v>5.5399999999999998E-2</v>
      </c>
      <c r="E147" s="17">
        <f t="shared" si="18"/>
        <v>-5.3859964093357915E-3</v>
      </c>
      <c r="F147" s="18">
        <f t="shared" si="14"/>
        <v>-3.0000000000000165E-4</v>
      </c>
      <c r="G147" s="19">
        <f t="shared" si="15"/>
        <v>-3.5285960164681973E-5</v>
      </c>
      <c r="H147" s="20">
        <f t="shared" si="16"/>
        <v>-2.6471403983531971E-4</v>
      </c>
      <c r="I147" s="21">
        <f t="shared" si="19"/>
        <v>756.11360916798105</v>
      </c>
      <c r="J147" s="22">
        <f t="shared" si="20"/>
        <v>6.6281916415663478</v>
      </c>
      <c r="O147" s="4"/>
    </row>
    <row r="148" spans="1:15" x14ac:dyDescent="0.2">
      <c r="A148" s="15">
        <v>147</v>
      </c>
      <c r="B148" s="3">
        <v>45231</v>
      </c>
      <c r="C148" s="4">
        <v>5.57</v>
      </c>
      <c r="D148" s="16">
        <f t="shared" si="17"/>
        <v>5.57E-2</v>
      </c>
      <c r="E148" s="17">
        <f t="shared" si="18"/>
        <v>-3.5778175313059268E-3</v>
      </c>
      <c r="F148" s="18">
        <f t="shared" si="14"/>
        <v>-1.9999999999999879E-4</v>
      </c>
      <c r="G148" s="19">
        <f t="shared" si="15"/>
        <v>-4.407849759350263E-5</v>
      </c>
      <c r="H148" s="20">
        <f t="shared" si="16"/>
        <v>-1.5592150240649615E-4</v>
      </c>
      <c r="I148" s="21">
        <f t="shared" si="19"/>
        <v>1521.0039594676273</v>
      </c>
      <c r="J148" s="22">
        <f t="shared" si="20"/>
        <v>7.3271258954561853</v>
      </c>
      <c r="O148" s="4"/>
    </row>
    <row r="149" spans="1:15" x14ac:dyDescent="0.2">
      <c r="A149" s="15">
        <v>148</v>
      </c>
      <c r="B149" s="3">
        <v>45230</v>
      </c>
      <c r="C149" s="4">
        <v>5.59</v>
      </c>
      <c r="D149" s="16">
        <f t="shared" si="17"/>
        <v>5.5899999999999998E-2</v>
      </c>
      <c r="E149" s="17">
        <f t="shared" si="18"/>
        <v>-1.7857142857141683E-3</v>
      </c>
      <c r="F149" s="18">
        <f t="shared" si="14"/>
        <v>-9.9999999999995925E-5</v>
      </c>
      <c r="G149" s="19">
        <f t="shared" si="15"/>
        <v>-4.847476630791282E-5</v>
      </c>
      <c r="H149" s="20">
        <f t="shared" si="16"/>
        <v>-5.1525233692083106E-5</v>
      </c>
      <c r="I149" s="21">
        <f t="shared" si="19"/>
        <v>2117.2924370169303</v>
      </c>
      <c r="J149" s="22">
        <f t="shared" si="20"/>
        <v>7.6578933990614289</v>
      </c>
      <c r="O149" s="4"/>
    </row>
    <row r="150" spans="1:15" x14ac:dyDescent="0.2">
      <c r="A150" s="15">
        <v>149</v>
      </c>
      <c r="B150" s="3">
        <v>45229</v>
      </c>
      <c r="C150" s="4">
        <v>5.6</v>
      </c>
      <c r="D150" s="16">
        <f t="shared" si="17"/>
        <v>5.5999999999999994E-2</v>
      </c>
      <c r="E150" s="17">
        <f t="shared" si="18"/>
        <v>1.7889087656528524E-3</v>
      </c>
      <c r="F150" s="18">
        <f t="shared" si="14"/>
        <v>9.9999999999995925E-5</v>
      </c>
      <c r="G150" s="19">
        <f t="shared" si="15"/>
        <v>-4.407849759350263E-5</v>
      </c>
      <c r="H150" s="20">
        <f t="shared" si="16"/>
        <v>1.4407849759349856E-4</v>
      </c>
      <c r="I150" s="21">
        <f t="shared" si="19"/>
        <v>1605.8206631213213</v>
      </c>
      <c r="J150" s="22">
        <f t="shared" si="20"/>
        <v>7.3813902214728264</v>
      </c>
      <c r="O150" s="4"/>
    </row>
    <row r="151" spans="1:15" x14ac:dyDescent="0.2">
      <c r="A151" s="15">
        <v>150</v>
      </c>
      <c r="B151" s="3">
        <v>45226</v>
      </c>
      <c r="C151" s="4">
        <v>5.59</v>
      </c>
      <c r="D151" s="16">
        <f t="shared" si="17"/>
        <v>5.5899999999999998E-2</v>
      </c>
      <c r="E151" s="17">
        <f t="shared" si="18"/>
        <v>0</v>
      </c>
      <c r="F151" s="18">
        <f t="shared" si="14"/>
        <v>0</v>
      </c>
      <c r="G151" s="19">
        <f t="shared" si="15"/>
        <v>-4.407849759350263E-5</v>
      </c>
      <c r="H151" s="20">
        <f t="shared" si="16"/>
        <v>4.407849759350263E-5</v>
      </c>
      <c r="I151" s="21">
        <f t="shared" si="19"/>
        <v>2140.4405828428835</v>
      </c>
      <c r="J151" s="22">
        <f t="shared" si="20"/>
        <v>7.6687669666586755</v>
      </c>
      <c r="O151" s="4"/>
    </row>
    <row r="152" spans="1:15" x14ac:dyDescent="0.2">
      <c r="A152" s="15">
        <v>151</v>
      </c>
      <c r="B152" s="3">
        <v>45225</v>
      </c>
      <c r="C152" s="4">
        <v>5.59</v>
      </c>
      <c r="D152" s="16">
        <f t="shared" si="17"/>
        <v>5.5899999999999998E-2</v>
      </c>
      <c r="E152" s="17">
        <f t="shared" si="18"/>
        <v>0</v>
      </c>
      <c r="F152" s="18">
        <f t="shared" si="14"/>
        <v>0</v>
      </c>
      <c r="G152" s="19">
        <f t="shared" si="15"/>
        <v>-4.407849759350263E-5</v>
      </c>
      <c r="H152" s="20">
        <f t="shared" si="16"/>
        <v>4.407849759350263E-5</v>
      </c>
      <c r="I152" s="21">
        <f t="shared" si="19"/>
        <v>2140.4405828428835</v>
      </c>
      <c r="J152" s="22">
        <f t="shared" si="20"/>
        <v>7.6687669666586755</v>
      </c>
      <c r="O152" s="4"/>
    </row>
    <row r="153" spans="1:15" x14ac:dyDescent="0.2">
      <c r="A153" s="15">
        <v>152</v>
      </c>
      <c r="B153" s="3">
        <v>45224</v>
      </c>
      <c r="C153" s="4">
        <v>5.59</v>
      </c>
      <c r="D153" s="16">
        <f t="shared" si="17"/>
        <v>5.5899999999999998E-2</v>
      </c>
      <c r="E153" s="17">
        <f t="shared" si="18"/>
        <v>1.7921146953403522E-3</v>
      </c>
      <c r="F153" s="18">
        <f t="shared" si="14"/>
        <v>9.9999999999995925E-5</v>
      </c>
      <c r="G153" s="19">
        <f t="shared" si="15"/>
        <v>-3.9682228879092454E-5</v>
      </c>
      <c r="H153" s="20">
        <f t="shared" si="16"/>
        <v>1.3968222887908839E-4</v>
      </c>
      <c r="I153" s="21">
        <f t="shared" si="19"/>
        <v>1636.7100102751424</v>
      </c>
      <c r="J153" s="22">
        <f t="shared" si="20"/>
        <v>7.4004434146262943</v>
      </c>
      <c r="O153" s="4"/>
    </row>
    <row r="154" spans="1:15" x14ac:dyDescent="0.2">
      <c r="A154" s="15">
        <v>153</v>
      </c>
      <c r="B154" s="3">
        <v>45223</v>
      </c>
      <c r="C154" s="4">
        <v>5.58</v>
      </c>
      <c r="D154" s="16">
        <f t="shared" si="17"/>
        <v>5.5800000000000002E-2</v>
      </c>
      <c r="E154" s="17">
        <f t="shared" si="18"/>
        <v>0</v>
      </c>
      <c r="F154" s="18">
        <f t="shared" si="14"/>
        <v>0</v>
      </c>
      <c r="G154" s="19">
        <f t="shared" si="15"/>
        <v>-3.9682228879092454E-5</v>
      </c>
      <c r="H154" s="20">
        <f t="shared" si="16"/>
        <v>3.9682228879092454E-5</v>
      </c>
      <c r="I154" s="21">
        <f t="shared" si="19"/>
        <v>2152.5126302754616</v>
      </c>
      <c r="J154" s="22">
        <f t="shared" si="20"/>
        <v>7.6743911040084622</v>
      </c>
      <c r="O154" s="4"/>
    </row>
    <row r="155" spans="1:15" x14ac:dyDescent="0.2">
      <c r="A155" s="15">
        <v>154</v>
      </c>
      <c r="B155" s="3">
        <v>45222</v>
      </c>
      <c r="C155" s="4">
        <v>5.58</v>
      </c>
      <c r="D155" s="16">
        <f t="shared" si="17"/>
        <v>5.5800000000000002E-2</v>
      </c>
      <c r="E155" s="17">
        <f t="shared" si="18"/>
        <v>0</v>
      </c>
      <c r="F155" s="18">
        <f t="shared" si="14"/>
        <v>0</v>
      </c>
      <c r="G155" s="19">
        <f t="shared" si="15"/>
        <v>-3.9682228879092454E-5</v>
      </c>
      <c r="H155" s="20">
        <f t="shared" si="16"/>
        <v>3.9682228879092454E-5</v>
      </c>
      <c r="I155" s="21">
        <f t="shared" si="19"/>
        <v>2152.5126302754616</v>
      </c>
      <c r="J155" s="22">
        <f t="shared" si="20"/>
        <v>7.6743911040084622</v>
      </c>
      <c r="O155" s="4"/>
    </row>
    <row r="156" spans="1:15" x14ac:dyDescent="0.2">
      <c r="A156" s="15">
        <v>155</v>
      </c>
      <c r="B156" s="3">
        <v>45219</v>
      </c>
      <c r="C156" s="4">
        <v>5.58</v>
      </c>
      <c r="D156" s="16">
        <f t="shared" si="17"/>
        <v>5.5800000000000002E-2</v>
      </c>
      <c r="E156" s="17">
        <f t="shared" si="18"/>
        <v>-3.5714285714284477E-3</v>
      </c>
      <c r="F156" s="18">
        <f t="shared" si="14"/>
        <v>-1.9999999999999185E-4</v>
      </c>
      <c r="G156" s="19">
        <f t="shared" si="15"/>
        <v>-4.847476630791282E-5</v>
      </c>
      <c r="H156" s="20">
        <f t="shared" si="16"/>
        <v>-1.5152523369207904E-4</v>
      </c>
      <c r="I156" s="21">
        <f t="shared" si="19"/>
        <v>1552.7292878435403</v>
      </c>
      <c r="J156" s="22">
        <f t="shared" si="20"/>
        <v>7.3477694923348551</v>
      </c>
      <c r="O156" s="4"/>
    </row>
    <row r="157" spans="1:15" x14ac:dyDescent="0.2">
      <c r="A157" s="15">
        <v>156</v>
      </c>
      <c r="B157" s="3">
        <v>45218</v>
      </c>
      <c r="C157" s="4">
        <v>5.6</v>
      </c>
      <c r="D157" s="16">
        <f t="shared" si="17"/>
        <v>5.5999999999999994E-2</v>
      </c>
      <c r="E157" s="17">
        <f t="shared" si="18"/>
        <v>-1.7825311942960553E-3</v>
      </c>
      <c r="F157" s="18">
        <f t="shared" si="14"/>
        <v>-1.000000000000098E-4</v>
      </c>
      <c r="G157" s="19">
        <f t="shared" si="15"/>
        <v>-5.2871035022323613E-5</v>
      </c>
      <c r="H157" s="20">
        <f t="shared" si="16"/>
        <v>-4.7128964977686191E-5</v>
      </c>
      <c r="I157" s="21">
        <f t="shared" si="19"/>
        <v>2131.3642843667226</v>
      </c>
      <c r="J157" s="22">
        <f t="shared" si="20"/>
        <v>7.6645175627574282</v>
      </c>
      <c r="O157" s="4"/>
    </row>
    <row r="158" spans="1:15" x14ac:dyDescent="0.2">
      <c r="A158" s="15">
        <v>157</v>
      </c>
      <c r="B158" s="3">
        <v>45217</v>
      </c>
      <c r="C158" s="4">
        <v>5.61</v>
      </c>
      <c r="D158" s="16">
        <f t="shared" si="17"/>
        <v>5.6100000000000004E-2</v>
      </c>
      <c r="E158" s="17">
        <f t="shared" si="18"/>
        <v>-1.779359430604921E-3</v>
      </c>
      <c r="F158" s="18">
        <f t="shared" si="14"/>
        <v>-9.9999999999995925E-5</v>
      </c>
      <c r="G158" s="19">
        <f t="shared" si="15"/>
        <v>-5.7267303736733789E-5</v>
      </c>
      <c r="H158" s="20">
        <f t="shared" si="16"/>
        <v>-4.2732696263262137E-5</v>
      </c>
      <c r="I158" s="21">
        <f t="shared" si="19"/>
        <v>2144.263357012273</v>
      </c>
      <c r="J158" s="22">
        <f t="shared" si="20"/>
        <v>7.6705513490745281</v>
      </c>
      <c r="O158" s="4"/>
    </row>
    <row r="159" spans="1:15" x14ac:dyDescent="0.2">
      <c r="A159" s="15">
        <v>158</v>
      </c>
      <c r="B159" s="3">
        <v>45216</v>
      </c>
      <c r="C159" s="4">
        <v>5.62</v>
      </c>
      <c r="D159" s="16">
        <f t="shared" si="17"/>
        <v>5.62E-2</v>
      </c>
      <c r="E159" s="17">
        <f t="shared" si="18"/>
        <v>1.7825311942958333E-3</v>
      </c>
      <c r="F159" s="18">
        <f t="shared" si="14"/>
        <v>9.9999999999995925E-5</v>
      </c>
      <c r="G159" s="19">
        <f t="shared" si="15"/>
        <v>-5.2871035022323613E-5</v>
      </c>
      <c r="H159" s="20">
        <f t="shared" si="16"/>
        <v>1.5287103502231952E-4</v>
      </c>
      <c r="I159" s="21">
        <f t="shared" si="19"/>
        <v>1543.0445172196776</v>
      </c>
      <c r="J159" s="22">
        <f t="shared" si="20"/>
        <v>7.3415127030290748</v>
      </c>
      <c r="O159" s="4"/>
    </row>
    <row r="160" spans="1:15" x14ac:dyDescent="0.2">
      <c r="A160" s="15">
        <v>159</v>
      </c>
      <c r="B160" s="3">
        <v>45215</v>
      </c>
      <c r="C160" s="4">
        <v>5.61</v>
      </c>
      <c r="D160" s="16">
        <f t="shared" si="17"/>
        <v>5.6100000000000004E-2</v>
      </c>
      <c r="E160" s="17">
        <f t="shared" si="18"/>
        <v>-1.779359430604921E-3</v>
      </c>
      <c r="F160" s="18">
        <f t="shared" si="14"/>
        <v>-9.9999999999995925E-5</v>
      </c>
      <c r="G160" s="19">
        <f t="shared" si="15"/>
        <v>-5.7267303736733789E-5</v>
      </c>
      <c r="H160" s="20">
        <f t="shared" si="16"/>
        <v>-4.2732696263262137E-5</v>
      </c>
      <c r="I160" s="21">
        <f t="shared" si="19"/>
        <v>2144.263357012273</v>
      </c>
      <c r="J160" s="22">
        <f t="shared" si="20"/>
        <v>7.6705513490745281</v>
      </c>
      <c r="O160" s="4"/>
    </row>
    <row r="161" spans="1:15" x14ac:dyDescent="0.2">
      <c r="A161" s="15">
        <v>160</v>
      </c>
      <c r="B161" s="3">
        <v>45212</v>
      </c>
      <c r="C161" s="4">
        <v>5.62</v>
      </c>
      <c r="D161" s="16">
        <f t="shared" si="17"/>
        <v>5.62E-2</v>
      </c>
      <c r="E161" s="17">
        <f t="shared" si="18"/>
        <v>-1.7761989342806039E-3</v>
      </c>
      <c r="F161" s="18">
        <f t="shared" si="14"/>
        <v>-9.9999999999995925E-5</v>
      </c>
      <c r="G161" s="19">
        <f t="shared" si="15"/>
        <v>-6.1663572451143965E-5</v>
      </c>
      <c r="H161" s="20">
        <f t="shared" si="16"/>
        <v>-3.8336427548851961E-5</v>
      </c>
      <c r="I161" s="21">
        <f t="shared" si="19"/>
        <v>2155.9672850692446</v>
      </c>
      <c r="J161" s="22">
        <f t="shared" si="20"/>
        <v>7.6759947580126706</v>
      </c>
      <c r="O161" s="4"/>
    </row>
    <row r="162" spans="1:15" x14ac:dyDescent="0.2">
      <c r="A162" s="15">
        <v>161</v>
      </c>
      <c r="B162" s="3">
        <v>45211</v>
      </c>
      <c r="C162" s="4">
        <v>5.63</v>
      </c>
      <c r="D162" s="16">
        <f t="shared" si="17"/>
        <v>5.6299999999999996E-2</v>
      </c>
      <c r="E162" s="17">
        <f t="shared" si="18"/>
        <v>3.5650623885916666E-3</v>
      </c>
      <c r="F162" s="18">
        <f t="shared" si="14"/>
        <v>1.9999999999999185E-4</v>
      </c>
      <c r="G162" s="19">
        <f t="shared" si="15"/>
        <v>-5.2871035022323613E-5</v>
      </c>
      <c r="H162" s="20">
        <f t="shared" si="16"/>
        <v>2.5287103502231545E-4</v>
      </c>
      <c r="I162" s="21">
        <f t="shared" si="19"/>
        <v>830.32151427321605</v>
      </c>
      <c r="J162" s="22">
        <f t="shared" si="20"/>
        <v>6.72181299237781</v>
      </c>
      <c r="O162" s="4"/>
    </row>
    <row r="163" spans="1:15" x14ac:dyDescent="0.2">
      <c r="A163" s="15">
        <v>162</v>
      </c>
      <c r="B163" s="3">
        <v>45210</v>
      </c>
      <c r="C163" s="4">
        <v>5.61</v>
      </c>
      <c r="D163" s="16">
        <f t="shared" si="17"/>
        <v>5.6100000000000004E-2</v>
      </c>
      <c r="E163" s="17">
        <f t="shared" si="18"/>
        <v>0</v>
      </c>
      <c r="F163" s="18">
        <f t="shared" si="14"/>
        <v>0</v>
      </c>
      <c r="G163" s="19">
        <f t="shared" si="15"/>
        <v>-5.2871035022323613E-5</v>
      </c>
      <c r="H163" s="20">
        <f t="shared" si="16"/>
        <v>5.2871035022323613E-5</v>
      </c>
      <c r="I163" s="21">
        <f t="shared" si="19"/>
        <v>2112.7539390099032</v>
      </c>
      <c r="J163" s="22">
        <f t="shared" si="20"/>
        <v>7.6557475598222871</v>
      </c>
      <c r="O163" s="4"/>
    </row>
    <row r="164" spans="1:15" x14ac:dyDescent="0.2">
      <c r="A164" s="15">
        <v>163</v>
      </c>
      <c r="B164" s="3">
        <v>45209</v>
      </c>
      <c r="C164" s="4">
        <v>5.61</v>
      </c>
      <c r="D164" s="16">
        <f t="shared" si="17"/>
        <v>5.6100000000000004E-2</v>
      </c>
      <c r="E164" s="17">
        <f t="shared" si="18"/>
        <v>-3.5523978685610968E-3</v>
      </c>
      <c r="F164" s="18">
        <f t="shared" si="14"/>
        <v>-1.9999999999999185E-4</v>
      </c>
      <c r="G164" s="19">
        <f t="shared" si="15"/>
        <v>-6.1663572451143965E-5</v>
      </c>
      <c r="H164" s="20">
        <f t="shared" si="16"/>
        <v>-1.3833642754884789E-4</v>
      </c>
      <c r="I164" s="21">
        <f t="shared" si="19"/>
        <v>1646.0899357162748</v>
      </c>
      <c r="J164" s="22">
        <f t="shared" si="20"/>
        <v>7.4061580186971412</v>
      </c>
      <c r="O164" s="4"/>
    </row>
    <row r="165" spans="1:15" x14ac:dyDescent="0.2">
      <c r="A165" s="15">
        <v>164</v>
      </c>
      <c r="B165" s="3">
        <v>45205</v>
      </c>
      <c r="C165" s="4">
        <v>5.63</v>
      </c>
      <c r="D165" s="16">
        <f t="shared" si="17"/>
        <v>5.6299999999999996E-2</v>
      </c>
      <c r="E165" s="17">
        <f t="shared" si="18"/>
        <v>3.5650623885916666E-3</v>
      </c>
      <c r="F165" s="18">
        <f t="shared" si="14"/>
        <v>1.9999999999999185E-4</v>
      </c>
      <c r="G165" s="19">
        <f t="shared" si="15"/>
        <v>-5.2871035022323613E-5</v>
      </c>
      <c r="H165" s="20">
        <f t="shared" si="16"/>
        <v>2.5287103502231545E-4</v>
      </c>
      <c r="I165" s="21">
        <f t="shared" si="19"/>
        <v>830.32151427321605</v>
      </c>
      <c r="J165" s="22">
        <f t="shared" si="20"/>
        <v>6.72181299237781</v>
      </c>
      <c r="O165" s="4"/>
    </row>
    <row r="166" spans="1:15" x14ac:dyDescent="0.2">
      <c r="A166" s="15">
        <v>165</v>
      </c>
      <c r="B166" s="3">
        <v>45204</v>
      </c>
      <c r="C166" s="4">
        <v>5.61</v>
      </c>
      <c r="D166" s="16">
        <f t="shared" si="17"/>
        <v>5.6100000000000004E-2</v>
      </c>
      <c r="E166" s="17">
        <f t="shared" si="18"/>
        <v>0</v>
      </c>
      <c r="F166" s="18">
        <f t="shared" si="14"/>
        <v>0</v>
      </c>
      <c r="G166" s="19">
        <f t="shared" si="15"/>
        <v>-5.2871035022323613E-5</v>
      </c>
      <c r="H166" s="20">
        <f t="shared" si="16"/>
        <v>5.2871035022323613E-5</v>
      </c>
      <c r="I166" s="21">
        <f t="shared" si="19"/>
        <v>2112.7539390099032</v>
      </c>
      <c r="J166" s="22">
        <f t="shared" si="20"/>
        <v>7.6557475598222871</v>
      </c>
      <c r="O166" s="4"/>
    </row>
    <row r="167" spans="1:15" x14ac:dyDescent="0.2">
      <c r="A167" s="15">
        <v>166</v>
      </c>
      <c r="B167" s="3">
        <v>45203</v>
      </c>
      <c r="C167" s="4">
        <v>5.61</v>
      </c>
      <c r="D167" s="16">
        <f t="shared" si="17"/>
        <v>5.6100000000000004E-2</v>
      </c>
      <c r="E167" s="17">
        <f t="shared" si="18"/>
        <v>-1.779359430604921E-3</v>
      </c>
      <c r="F167" s="18">
        <f t="shared" si="14"/>
        <v>-9.9999999999995925E-5</v>
      </c>
      <c r="G167" s="19">
        <f t="shared" si="15"/>
        <v>-5.7267303736733789E-5</v>
      </c>
      <c r="H167" s="20">
        <f t="shared" si="16"/>
        <v>-4.2732696263262137E-5</v>
      </c>
      <c r="I167" s="21">
        <f t="shared" si="19"/>
        <v>2144.263357012273</v>
      </c>
      <c r="J167" s="22">
        <f t="shared" si="20"/>
        <v>7.6705513490745281</v>
      </c>
      <c r="O167" s="4"/>
    </row>
    <row r="168" spans="1:15" x14ac:dyDescent="0.2">
      <c r="A168" s="15">
        <v>167</v>
      </c>
      <c r="B168" s="3">
        <v>45202</v>
      </c>
      <c r="C168" s="4">
        <v>5.62</v>
      </c>
      <c r="D168" s="16">
        <f t="shared" si="17"/>
        <v>5.62E-2</v>
      </c>
      <c r="E168" s="17">
        <f t="shared" si="18"/>
        <v>0</v>
      </c>
      <c r="F168" s="18">
        <f t="shared" si="14"/>
        <v>0</v>
      </c>
      <c r="G168" s="19">
        <f t="shared" si="15"/>
        <v>-5.7267303736733789E-5</v>
      </c>
      <c r="H168" s="20">
        <f t="shared" si="16"/>
        <v>5.7267303736733789E-5</v>
      </c>
      <c r="I168" s="21">
        <f t="shared" si="19"/>
        <v>2097.187185386515</v>
      </c>
      <c r="J168" s="22">
        <f t="shared" si="20"/>
        <v>7.6483522903356862</v>
      </c>
      <c r="O168" s="4"/>
    </row>
    <row r="169" spans="1:15" x14ac:dyDescent="0.2">
      <c r="A169" s="15">
        <v>168</v>
      </c>
      <c r="B169" s="3">
        <v>45201</v>
      </c>
      <c r="C169" s="4">
        <v>5.62</v>
      </c>
      <c r="D169" s="16">
        <f t="shared" si="17"/>
        <v>5.62E-2</v>
      </c>
      <c r="E169" s="17">
        <f t="shared" si="18"/>
        <v>1.2612612612612706E-2</v>
      </c>
      <c r="F169" s="18">
        <f t="shared" si="14"/>
        <v>6.9999999999999923E-4</v>
      </c>
      <c r="G169" s="19">
        <f t="shared" si="15"/>
        <v>-2.6493422735861296E-5</v>
      </c>
      <c r="H169" s="20">
        <f t="shared" si="16"/>
        <v>7.2649342273586057E-4</v>
      </c>
      <c r="I169" s="21">
        <f t="shared" si="19"/>
        <v>0.69581995807830377</v>
      </c>
      <c r="J169" s="22">
        <f t="shared" si="20"/>
        <v>-0.36266433303337553</v>
      </c>
      <c r="O169" s="4"/>
    </row>
    <row r="170" spans="1:15" x14ac:dyDescent="0.2">
      <c r="A170" s="15">
        <v>169</v>
      </c>
      <c r="B170" s="3">
        <v>45198</v>
      </c>
      <c r="C170" s="4">
        <v>5.55</v>
      </c>
      <c r="D170" s="16">
        <f t="shared" si="17"/>
        <v>5.5500000000000001E-2</v>
      </c>
      <c r="E170" s="17">
        <f t="shared" si="18"/>
        <v>-1.7985611510790145E-3</v>
      </c>
      <c r="F170" s="18">
        <f t="shared" si="14"/>
        <v>-9.9999999999995925E-5</v>
      </c>
      <c r="G170" s="19">
        <f t="shared" si="15"/>
        <v>-3.0889691450271478E-5</v>
      </c>
      <c r="H170" s="20">
        <f t="shared" si="16"/>
        <v>-6.9110308549724447E-5</v>
      </c>
      <c r="I170" s="21">
        <f t="shared" si="19"/>
        <v>2049.7907023138209</v>
      </c>
      <c r="J170" s="22">
        <f t="shared" si="20"/>
        <v>7.6254929704879757</v>
      </c>
      <c r="O170" s="4"/>
    </row>
    <row r="171" spans="1:15" x14ac:dyDescent="0.2">
      <c r="A171" s="15">
        <v>170</v>
      </c>
      <c r="B171" s="3">
        <v>45197</v>
      </c>
      <c r="C171" s="4">
        <v>5.56</v>
      </c>
      <c r="D171" s="16">
        <f t="shared" si="17"/>
        <v>5.5599999999999997E-2</v>
      </c>
      <c r="E171" s="17">
        <f t="shared" si="18"/>
        <v>-3.5842293906811484E-3</v>
      </c>
      <c r="F171" s="18">
        <f t="shared" si="14"/>
        <v>-2.0000000000000573E-4</v>
      </c>
      <c r="G171" s="19">
        <f t="shared" si="15"/>
        <v>-3.9682228879092454E-5</v>
      </c>
      <c r="H171" s="20">
        <f t="shared" si="16"/>
        <v>-1.6031777112091326E-4</v>
      </c>
      <c r="I171" s="21">
        <f t="shared" si="19"/>
        <v>1489.0474827552632</v>
      </c>
      <c r="J171" s="22">
        <f t="shared" si="20"/>
        <v>7.305891921198576</v>
      </c>
      <c r="O171" s="4"/>
    </row>
    <row r="172" spans="1:15" x14ac:dyDescent="0.2">
      <c r="A172" s="15">
        <v>171</v>
      </c>
      <c r="B172" s="3">
        <v>45196</v>
      </c>
      <c r="C172" s="4">
        <v>5.58</v>
      </c>
      <c r="D172" s="16">
        <f t="shared" si="17"/>
        <v>5.5800000000000002E-2</v>
      </c>
      <c r="E172" s="17">
        <f t="shared" si="18"/>
        <v>0</v>
      </c>
      <c r="F172" s="18">
        <f t="shared" si="14"/>
        <v>0</v>
      </c>
      <c r="G172" s="19">
        <f t="shared" si="15"/>
        <v>-3.9682228879092454E-5</v>
      </c>
      <c r="H172" s="20">
        <f t="shared" si="16"/>
        <v>3.9682228879092454E-5</v>
      </c>
      <c r="I172" s="21">
        <f t="shared" si="19"/>
        <v>2152.5126302754616</v>
      </c>
      <c r="J172" s="22">
        <f t="shared" si="20"/>
        <v>7.6743911040084622</v>
      </c>
      <c r="O172" s="4"/>
    </row>
    <row r="173" spans="1:15" x14ac:dyDescent="0.2">
      <c r="A173" s="15">
        <v>172</v>
      </c>
      <c r="B173" s="3">
        <v>45195</v>
      </c>
      <c r="C173" s="4">
        <v>5.58</v>
      </c>
      <c r="D173" s="16">
        <f t="shared" si="17"/>
        <v>5.5800000000000002E-2</v>
      </c>
      <c r="E173" s="17">
        <f t="shared" si="18"/>
        <v>0</v>
      </c>
      <c r="F173" s="18">
        <f t="shared" si="14"/>
        <v>0</v>
      </c>
      <c r="G173" s="19">
        <f t="shared" si="15"/>
        <v>-3.9682228879092454E-5</v>
      </c>
      <c r="H173" s="20">
        <f t="shared" si="16"/>
        <v>3.9682228879092454E-5</v>
      </c>
      <c r="I173" s="21">
        <f t="shared" si="19"/>
        <v>2152.5126302754616</v>
      </c>
      <c r="J173" s="22">
        <f t="shared" si="20"/>
        <v>7.6743911040084622</v>
      </c>
      <c r="O173" s="4"/>
    </row>
    <row r="174" spans="1:15" x14ac:dyDescent="0.2">
      <c r="A174" s="15">
        <v>173</v>
      </c>
      <c r="B174" s="3">
        <v>45194</v>
      </c>
      <c r="C174" s="4">
        <v>5.58</v>
      </c>
      <c r="D174" s="16">
        <f t="shared" si="17"/>
        <v>5.5800000000000002E-2</v>
      </c>
      <c r="E174" s="17">
        <f t="shared" si="18"/>
        <v>3.5971223021584731E-3</v>
      </c>
      <c r="F174" s="18">
        <f t="shared" si="14"/>
        <v>2.0000000000000573E-4</v>
      </c>
      <c r="G174" s="19">
        <f t="shared" si="15"/>
        <v>-3.0889691450271478E-5</v>
      </c>
      <c r="H174" s="20">
        <f t="shared" si="16"/>
        <v>2.3088969145027721E-4</v>
      </c>
      <c r="I174" s="21">
        <f t="shared" si="19"/>
        <v>976.74365429883983</v>
      </c>
      <c r="J174" s="22">
        <f t="shared" si="20"/>
        <v>6.8842242371634637</v>
      </c>
      <c r="O174" s="4"/>
    </row>
    <row r="175" spans="1:15" x14ac:dyDescent="0.2">
      <c r="A175" s="15">
        <v>174</v>
      </c>
      <c r="B175" s="3">
        <v>45191</v>
      </c>
      <c r="C175" s="4">
        <v>5.56</v>
      </c>
      <c r="D175" s="16">
        <f t="shared" si="17"/>
        <v>5.5599999999999997E-2</v>
      </c>
      <c r="E175" s="17">
        <f t="shared" si="18"/>
        <v>-1.7953321364453378E-3</v>
      </c>
      <c r="F175" s="18">
        <f t="shared" si="14"/>
        <v>-1.0000000000000286E-4</v>
      </c>
      <c r="G175" s="19">
        <f t="shared" si="15"/>
        <v>-3.5285960164681973E-5</v>
      </c>
      <c r="H175" s="20">
        <f t="shared" si="16"/>
        <v>-6.4714039835320891E-5</v>
      </c>
      <c r="I175" s="21">
        <f t="shared" si="19"/>
        <v>2068.2924525687718</v>
      </c>
      <c r="J175" s="22">
        <f t="shared" si="20"/>
        <v>7.6344786436997332</v>
      </c>
      <c r="O175" s="4"/>
    </row>
    <row r="176" spans="1:15" x14ac:dyDescent="0.2">
      <c r="A176" s="15">
        <v>175</v>
      </c>
      <c r="B176" s="3">
        <v>45190</v>
      </c>
      <c r="C176" s="4">
        <v>5.57</v>
      </c>
      <c r="D176" s="16">
        <f t="shared" si="17"/>
        <v>5.57E-2</v>
      </c>
      <c r="E176" s="17">
        <f t="shared" si="18"/>
        <v>1.7985611510791255E-3</v>
      </c>
      <c r="F176" s="18">
        <f t="shared" si="14"/>
        <v>1.0000000000000286E-4</v>
      </c>
      <c r="G176" s="19">
        <f t="shared" si="15"/>
        <v>-3.0889691450271478E-5</v>
      </c>
      <c r="H176" s="20">
        <f t="shared" si="16"/>
        <v>1.3088969145027434E-4</v>
      </c>
      <c r="I176" s="21">
        <f t="shared" si="19"/>
        <v>1697.2739239505493</v>
      </c>
      <c r="J176" s="22">
        <f t="shared" si="20"/>
        <v>7.436778668796391</v>
      </c>
      <c r="O176" s="4"/>
    </row>
    <row r="177" spans="1:15" x14ac:dyDescent="0.2">
      <c r="A177" s="15">
        <v>176</v>
      </c>
      <c r="B177" s="3">
        <v>45189</v>
      </c>
      <c r="C177" s="4">
        <v>5.56</v>
      </c>
      <c r="D177" s="16">
        <f t="shared" si="17"/>
        <v>5.5599999999999997E-2</v>
      </c>
      <c r="E177" s="17">
        <f t="shared" si="18"/>
        <v>3.6101083032491488E-3</v>
      </c>
      <c r="F177" s="18">
        <f t="shared" si="14"/>
        <v>1.9999999999999879E-4</v>
      </c>
      <c r="G177" s="19">
        <f t="shared" si="15"/>
        <v>-2.2097154021450811E-5</v>
      </c>
      <c r="H177" s="20">
        <f t="shared" si="16"/>
        <v>2.220971540214496E-4</v>
      </c>
      <c r="I177" s="21">
        <f t="shared" si="19"/>
        <v>1038.0052208411219</v>
      </c>
      <c r="J177" s="22">
        <f t="shared" si="20"/>
        <v>6.9450560934252481</v>
      </c>
      <c r="O177" s="4"/>
    </row>
    <row r="178" spans="1:15" x14ac:dyDescent="0.2">
      <c r="A178" s="15">
        <v>177</v>
      </c>
      <c r="B178" s="3">
        <v>45188</v>
      </c>
      <c r="C178" s="4">
        <v>5.54</v>
      </c>
      <c r="D178" s="16">
        <f t="shared" si="17"/>
        <v>5.5399999999999998E-2</v>
      </c>
      <c r="E178" s="17">
        <f t="shared" si="18"/>
        <v>-1.8018018018018944E-3</v>
      </c>
      <c r="F178" s="18">
        <f t="shared" si="14"/>
        <v>-1.0000000000000286E-4</v>
      </c>
      <c r="G178" s="19">
        <f t="shared" si="15"/>
        <v>-2.6493422735861296E-5</v>
      </c>
      <c r="H178" s="20">
        <f t="shared" si="16"/>
        <v>-7.3506577264141569E-5</v>
      </c>
      <c r="I178" s="21">
        <f t="shared" si="19"/>
        <v>2030.2554872346052</v>
      </c>
      <c r="J178" s="22">
        <f t="shared" si="20"/>
        <v>7.6159169198972521</v>
      </c>
      <c r="O178" s="4"/>
    </row>
    <row r="179" spans="1:15" x14ac:dyDescent="0.2">
      <c r="A179" s="15">
        <v>178</v>
      </c>
      <c r="B179" s="3">
        <v>45187</v>
      </c>
      <c r="C179" s="4">
        <v>5.55</v>
      </c>
      <c r="D179" s="16">
        <f t="shared" si="17"/>
        <v>5.5500000000000001E-2</v>
      </c>
      <c r="E179" s="17">
        <f t="shared" si="18"/>
        <v>-1.7985611510790145E-3</v>
      </c>
      <c r="F179" s="18">
        <f t="shared" si="14"/>
        <v>-9.9999999999995925E-5</v>
      </c>
      <c r="G179" s="19">
        <f t="shared" si="15"/>
        <v>-3.0889691450271478E-5</v>
      </c>
      <c r="H179" s="20">
        <f t="shared" si="16"/>
        <v>-6.9110308549724447E-5</v>
      </c>
      <c r="I179" s="21">
        <f t="shared" si="19"/>
        <v>2049.7907023138209</v>
      </c>
      <c r="J179" s="22">
        <f t="shared" si="20"/>
        <v>7.6254929704879757</v>
      </c>
      <c r="O179" s="4"/>
    </row>
    <row r="180" spans="1:15" x14ac:dyDescent="0.2">
      <c r="A180" s="15">
        <v>179</v>
      </c>
      <c r="B180" s="3">
        <v>45184</v>
      </c>
      <c r="C180" s="4">
        <v>5.56</v>
      </c>
      <c r="D180" s="16">
        <f t="shared" si="17"/>
        <v>5.5599999999999997E-2</v>
      </c>
      <c r="E180" s="17">
        <f t="shared" si="18"/>
        <v>1.8018018018017834E-3</v>
      </c>
      <c r="F180" s="18">
        <f t="shared" si="14"/>
        <v>9.9999999999995925E-5</v>
      </c>
      <c r="G180" s="19">
        <f t="shared" si="15"/>
        <v>-2.6493422735861296E-5</v>
      </c>
      <c r="H180" s="20">
        <f t="shared" si="16"/>
        <v>1.2649342273585721E-4</v>
      </c>
      <c r="I180" s="21">
        <f t="shared" si="19"/>
        <v>1726.8612440023435</v>
      </c>
      <c r="J180" s="22">
        <f t="shared" si="20"/>
        <v>7.4540607298130723</v>
      </c>
      <c r="O180" s="4"/>
    </row>
    <row r="181" spans="1:15" x14ac:dyDescent="0.2">
      <c r="A181" s="15">
        <v>180</v>
      </c>
      <c r="B181" s="3">
        <v>45183</v>
      </c>
      <c r="C181" s="4">
        <v>5.55</v>
      </c>
      <c r="D181" s="16">
        <f t="shared" si="17"/>
        <v>5.5500000000000001E-2</v>
      </c>
      <c r="E181" s="17">
        <f t="shared" si="18"/>
        <v>0</v>
      </c>
      <c r="F181" s="18">
        <f t="shared" si="14"/>
        <v>0</v>
      </c>
      <c r="G181" s="19">
        <f t="shared" si="15"/>
        <v>-2.6493422735861296E-5</v>
      </c>
      <c r="H181" s="20">
        <f t="shared" si="16"/>
        <v>2.6493422735861296E-5</v>
      </c>
      <c r="I181" s="21">
        <f t="shared" si="19"/>
        <v>2181.3980373725153</v>
      </c>
      <c r="J181" s="22">
        <f t="shared" si="20"/>
        <v>7.687721251784196</v>
      </c>
      <c r="O181" s="4"/>
    </row>
    <row r="182" spans="1:15" x14ac:dyDescent="0.2">
      <c r="A182" s="15">
        <v>181</v>
      </c>
      <c r="B182" s="3">
        <v>45182</v>
      </c>
      <c r="C182" s="4">
        <v>5.55</v>
      </c>
      <c r="D182" s="16">
        <f t="shared" si="17"/>
        <v>5.5500000000000001E-2</v>
      </c>
      <c r="E182" s="17">
        <f t="shared" si="18"/>
        <v>-1.7985611510790145E-3</v>
      </c>
      <c r="F182" s="18">
        <f t="shared" si="14"/>
        <v>-9.9999999999995925E-5</v>
      </c>
      <c r="G182" s="19">
        <f t="shared" si="15"/>
        <v>-3.0889691450271478E-5</v>
      </c>
      <c r="H182" s="20">
        <f t="shared" si="16"/>
        <v>-6.9110308549724447E-5</v>
      </c>
      <c r="I182" s="21">
        <f t="shared" si="19"/>
        <v>2049.7907023138209</v>
      </c>
      <c r="J182" s="22">
        <f t="shared" si="20"/>
        <v>7.6254929704879757</v>
      </c>
      <c r="O182" s="4"/>
    </row>
    <row r="183" spans="1:15" x14ac:dyDescent="0.2">
      <c r="A183" s="15">
        <v>182</v>
      </c>
      <c r="B183" s="3">
        <v>45181</v>
      </c>
      <c r="C183" s="4">
        <v>5.56</v>
      </c>
      <c r="D183" s="16">
        <f t="shared" si="17"/>
        <v>5.5599999999999997E-2</v>
      </c>
      <c r="E183" s="17">
        <f t="shared" si="18"/>
        <v>1.8018018018017834E-3</v>
      </c>
      <c r="F183" s="18">
        <f t="shared" si="14"/>
        <v>9.9999999999995925E-5</v>
      </c>
      <c r="G183" s="19">
        <f t="shared" si="15"/>
        <v>-2.6493422735861296E-5</v>
      </c>
      <c r="H183" s="20">
        <f t="shared" si="16"/>
        <v>1.2649342273585721E-4</v>
      </c>
      <c r="I183" s="21">
        <f t="shared" si="19"/>
        <v>1726.8612440023435</v>
      </c>
      <c r="J183" s="22">
        <f t="shared" si="20"/>
        <v>7.4540607298130723</v>
      </c>
      <c r="O183" s="4"/>
    </row>
    <row r="184" spans="1:15" x14ac:dyDescent="0.2">
      <c r="A184" s="15">
        <v>183</v>
      </c>
      <c r="B184" s="3">
        <v>45180</v>
      </c>
      <c r="C184" s="4">
        <v>5.55</v>
      </c>
      <c r="D184" s="16">
        <f t="shared" si="17"/>
        <v>5.5500000000000001E-2</v>
      </c>
      <c r="E184" s="17">
        <f t="shared" si="18"/>
        <v>0</v>
      </c>
      <c r="F184" s="18">
        <f t="shared" si="14"/>
        <v>0</v>
      </c>
      <c r="G184" s="19">
        <f t="shared" si="15"/>
        <v>-2.6493422735861296E-5</v>
      </c>
      <c r="H184" s="20">
        <f t="shared" si="16"/>
        <v>2.6493422735861296E-5</v>
      </c>
      <c r="I184" s="21">
        <f t="shared" si="19"/>
        <v>2181.3980373725153</v>
      </c>
      <c r="J184" s="22">
        <f t="shared" si="20"/>
        <v>7.687721251784196</v>
      </c>
      <c r="O184" s="4"/>
    </row>
    <row r="185" spans="1:15" x14ac:dyDescent="0.2">
      <c r="A185" s="15">
        <v>184</v>
      </c>
      <c r="B185" s="3">
        <v>45177</v>
      </c>
      <c r="C185" s="4">
        <v>5.55</v>
      </c>
      <c r="D185" s="16">
        <f t="shared" si="17"/>
        <v>5.5500000000000001E-2</v>
      </c>
      <c r="E185" s="17">
        <f t="shared" si="18"/>
        <v>3.6166365280290158E-3</v>
      </c>
      <c r="F185" s="18">
        <f t="shared" si="14"/>
        <v>1.9999999999999879E-4</v>
      </c>
      <c r="G185" s="19">
        <f t="shared" si="15"/>
        <v>-1.7700885307040628E-5</v>
      </c>
      <c r="H185" s="20">
        <f t="shared" si="16"/>
        <v>2.1770088530703941E-4</v>
      </c>
      <c r="I185" s="21">
        <f t="shared" si="19"/>
        <v>1069.1149712127346</v>
      </c>
      <c r="J185" s="22">
        <f t="shared" si="20"/>
        <v>6.9745864554877084</v>
      </c>
      <c r="O185" s="4"/>
    </row>
    <row r="186" spans="1:15" x14ac:dyDescent="0.2">
      <c r="A186" s="15">
        <v>185</v>
      </c>
      <c r="B186" s="3">
        <v>45176</v>
      </c>
      <c r="C186" s="4">
        <v>5.53</v>
      </c>
      <c r="D186" s="16">
        <f t="shared" si="17"/>
        <v>5.5300000000000002E-2</v>
      </c>
      <c r="E186" s="17">
        <f t="shared" si="18"/>
        <v>-3.6036036036035668E-3</v>
      </c>
      <c r="F186" s="18">
        <f t="shared" si="14"/>
        <v>-1.9999999999999879E-4</v>
      </c>
      <c r="G186" s="19">
        <f t="shared" si="15"/>
        <v>-2.6493422735861296E-5</v>
      </c>
      <c r="H186" s="20">
        <f t="shared" si="16"/>
        <v>-1.7350657726413751E-4</v>
      </c>
      <c r="I186" s="21">
        <f t="shared" si="19"/>
        <v>1392.2100592628428</v>
      </c>
      <c r="J186" s="22">
        <f t="shared" si="20"/>
        <v>7.2386477341522513</v>
      </c>
      <c r="O186" s="4"/>
    </row>
    <row r="187" spans="1:15" x14ac:dyDescent="0.2">
      <c r="A187" s="15">
        <v>186</v>
      </c>
      <c r="B187" s="3">
        <v>45175</v>
      </c>
      <c r="C187" s="4">
        <v>5.55</v>
      </c>
      <c r="D187" s="16">
        <f t="shared" si="17"/>
        <v>5.5500000000000001E-2</v>
      </c>
      <c r="E187" s="17">
        <f t="shared" si="18"/>
        <v>0</v>
      </c>
      <c r="F187" s="18">
        <f t="shared" si="14"/>
        <v>0</v>
      </c>
      <c r="G187" s="19">
        <f t="shared" si="15"/>
        <v>-2.6493422735861296E-5</v>
      </c>
      <c r="H187" s="20">
        <f t="shared" si="16"/>
        <v>2.6493422735861296E-5</v>
      </c>
      <c r="I187" s="21">
        <f t="shared" si="19"/>
        <v>2181.3980373725153</v>
      </c>
      <c r="J187" s="22">
        <f t="shared" si="20"/>
        <v>7.687721251784196</v>
      </c>
      <c r="O187" s="4"/>
    </row>
    <row r="188" spans="1:15" x14ac:dyDescent="0.2">
      <c r="A188" s="15">
        <v>187</v>
      </c>
      <c r="B188" s="3">
        <v>45174</v>
      </c>
      <c r="C188" s="4">
        <v>5.55</v>
      </c>
      <c r="D188" s="16">
        <f t="shared" si="17"/>
        <v>5.5500000000000001E-2</v>
      </c>
      <c r="E188" s="17">
        <f t="shared" si="18"/>
        <v>3.6166365280290158E-3</v>
      </c>
      <c r="F188" s="18">
        <f t="shared" si="14"/>
        <v>1.9999999999999879E-4</v>
      </c>
      <c r="G188" s="19">
        <f t="shared" si="15"/>
        <v>-1.7700885307040628E-5</v>
      </c>
      <c r="H188" s="20">
        <f t="shared" si="16"/>
        <v>2.1770088530703941E-4</v>
      </c>
      <c r="I188" s="21">
        <f t="shared" si="19"/>
        <v>1069.1149712127346</v>
      </c>
      <c r="J188" s="22">
        <f t="shared" si="20"/>
        <v>6.9745864554877084</v>
      </c>
      <c r="O188" s="4"/>
    </row>
    <row r="189" spans="1:15" x14ac:dyDescent="0.2">
      <c r="A189" s="15">
        <v>188</v>
      </c>
      <c r="B189" s="3">
        <v>45170</v>
      </c>
      <c r="C189" s="4">
        <v>5.53</v>
      </c>
      <c r="D189" s="16">
        <f t="shared" si="17"/>
        <v>5.5300000000000002E-2</v>
      </c>
      <c r="E189" s="17">
        <f t="shared" si="18"/>
        <v>-5.3956834532372655E-3</v>
      </c>
      <c r="F189" s="18">
        <f t="shared" si="14"/>
        <v>-2.9999999999999472E-4</v>
      </c>
      <c r="G189" s="19">
        <f t="shared" si="15"/>
        <v>-3.0889691450271478E-5</v>
      </c>
      <c r="H189" s="20">
        <f t="shared" si="16"/>
        <v>-2.6911030854972324E-4</v>
      </c>
      <c r="I189" s="21">
        <f t="shared" si="19"/>
        <v>729.49160261657312</v>
      </c>
      <c r="J189" s="22">
        <f t="shared" si="20"/>
        <v>6.5923478567472698</v>
      </c>
      <c r="O189" s="4"/>
    </row>
    <row r="190" spans="1:15" x14ac:dyDescent="0.2">
      <c r="A190" s="15">
        <v>189</v>
      </c>
      <c r="B190" s="3">
        <v>45169</v>
      </c>
      <c r="C190" s="4">
        <v>5.56</v>
      </c>
      <c r="D190" s="16">
        <f t="shared" si="17"/>
        <v>5.5599999999999997E-2</v>
      </c>
      <c r="E190" s="17">
        <f t="shared" si="18"/>
        <v>0</v>
      </c>
      <c r="F190" s="18">
        <f t="shared" si="14"/>
        <v>0</v>
      </c>
      <c r="G190" s="19">
        <f t="shared" si="15"/>
        <v>-3.0889691450271478E-5</v>
      </c>
      <c r="H190" s="20">
        <f t="shared" si="16"/>
        <v>3.0889691450271478E-5</v>
      </c>
      <c r="I190" s="21">
        <f t="shared" si="19"/>
        <v>2173.0092707218218</v>
      </c>
      <c r="J190" s="22">
        <f t="shared" si="20"/>
        <v>7.6838682465712234</v>
      </c>
      <c r="O190" s="4"/>
    </row>
    <row r="191" spans="1:15" x14ac:dyDescent="0.2">
      <c r="A191" s="15">
        <v>190</v>
      </c>
      <c r="B191" s="3">
        <v>45168</v>
      </c>
      <c r="C191" s="4">
        <v>5.56</v>
      </c>
      <c r="D191" s="16">
        <f t="shared" si="17"/>
        <v>5.5599999999999997E-2</v>
      </c>
      <c r="E191" s="17">
        <f t="shared" si="18"/>
        <v>0</v>
      </c>
      <c r="F191" s="18">
        <f t="shared" si="14"/>
        <v>0</v>
      </c>
      <c r="G191" s="19">
        <f t="shared" si="15"/>
        <v>-3.0889691450271478E-5</v>
      </c>
      <c r="H191" s="20">
        <f t="shared" si="16"/>
        <v>3.0889691450271478E-5</v>
      </c>
      <c r="I191" s="21">
        <f t="shared" si="19"/>
        <v>2173.0092707218218</v>
      </c>
      <c r="J191" s="22">
        <f t="shared" si="20"/>
        <v>7.6838682465712234</v>
      </c>
      <c r="O191" s="4"/>
    </row>
    <row r="192" spans="1:15" x14ac:dyDescent="0.2">
      <c r="A192" s="15">
        <v>191</v>
      </c>
      <c r="B192" s="3">
        <v>45167</v>
      </c>
      <c r="C192" s="4">
        <v>5.56</v>
      </c>
      <c r="D192" s="16">
        <f t="shared" si="17"/>
        <v>5.5599999999999997E-2</v>
      </c>
      <c r="E192" s="17">
        <f t="shared" si="18"/>
        <v>-3.5842293906811484E-3</v>
      </c>
      <c r="F192" s="18">
        <f t="shared" si="14"/>
        <v>-2.0000000000000573E-4</v>
      </c>
      <c r="G192" s="19">
        <f t="shared" si="15"/>
        <v>-3.9682228879092454E-5</v>
      </c>
      <c r="H192" s="20">
        <f t="shared" si="16"/>
        <v>-1.6031777112091326E-4</v>
      </c>
      <c r="I192" s="21">
        <f t="shared" si="19"/>
        <v>1489.0474827552632</v>
      </c>
      <c r="J192" s="22">
        <f t="shared" si="20"/>
        <v>7.305891921198576</v>
      </c>
      <c r="O192" s="4"/>
    </row>
    <row r="193" spans="1:15" x14ac:dyDescent="0.2">
      <c r="A193" s="15">
        <v>192</v>
      </c>
      <c r="B193" s="3">
        <v>45166</v>
      </c>
      <c r="C193" s="4">
        <v>5.58</v>
      </c>
      <c r="D193" s="16">
        <f t="shared" si="17"/>
        <v>5.5800000000000002E-2</v>
      </c>
      <c r="E193" s="17">
        <f t="shared" si="18"/>
        <v>-5.3475935828877219E-3</v>
      </c>
      <c r="F193" s="18">
        <f t="shared" si="14"/>
        <v>-3.0000000000000165E-4</v>
      </c>
      <c r="G193" s="19">
        <f t="shared" si="15"/>
        <v>-5.2871035022323613E-5</v>
      </c>
      <c r="H193" s="20">
        <f t="shared" si="16"/>
        <v>-2.4712896497767806E-4</v>
      </c>
      <c r="I193" s="21">
        <f t="shared" si="19"/>
        <v>867.54120309265738</v>
      </c>
      <c r="J193" s="22">
        <f t="shared" si="20"/>
        <v>6.7656630070535098</v>
      </c>
      <c r="O193" s="4"/>
    </row>
    <row r="194" spans="1:15" x14ac:dyDescent="0.2">
      <c r="A194" s="15">
        <v>193</v>
      </c>
      <c r="B194" s="3">
        <v>45163</v>
      </c>
      <c r="C194" s="4">
        <v>5.61</v>
      </c>
      <c r="D194" s="16">
        <f t="shared" si="17"/>
        <v>5.6100000000000004E-2</v>
      </c>
      <c r="E194" s="17">
        <f t="shared" si="18"/>
        <v>5.3763440860215006E-3</v>
      </c>
      <c r="F194" s="18">
        <f t="shared" ref="F194:F252" si="21">D194-D195</f>
        <v>3.0000000000000165E-4</v>
      </c>
      <c r="G194" s="19">
        <f t="shared" ref="G194:G252" si="22">$O$2*($O$3-D195)*$O$7</f>
        <v>-3.9682228879092454E-5</v>
      </c>
      <c r="H194" s="20">
        <f t="shared" ref="H194:H252" si="23">F194-G194</f>
        <v>3.3968222887909412E-4</v>
      </c>
      <c r="I194" s="21">
        <f t="shared" si="19"/>
        <v>378.47630717532007</v>
      </c>
      <c r="J194" s="22">
        <f t="shared" si="20"/>
        <v>5.936153474287658</v>
      </c>
      <c r="O194" s="4"/>
    </row>
    <row r="195" spans="1:15" x14ac:dyDescent="0.2">
      <c r="A195" s="15">
        <v>194</v>
      </c>
      <c r="B195" s="3">
        <v>45162</v>
      </c>
      <c r="C195" s="4">
        <v>5.58</v>
      </c>
      <c r="D195" s="16">
        <f t="shared" ref="D195:D253" si="24">C195/100</f>
        <v>5.5800000000000002E-2</v>
      </c>
      <c r="E195" s="17">
        <f t="shared" ref="E195:E252" si="25">(D195/D196-1)</f>
        <v>1.7953321364452268E-3</v>
      </c>
      <c r="F195" s="18">
        <f t="shared" si="21"/>
        <v>1.0000000000000286E-4</v>
      </c>
      <c r="G195" s="19">
        <f t="shared" si="22"/>
        <v>-3.5285960164681973E-5</v>
      </c>
      <c r="H195" s="20">
        <f t="shared" si="23"/>
        <v>1.3528596016468484E-4</v>
      </c>
      <c r="I195" s="21">
        <f t="shared" ref="I195:I252" si="26">NORMDIST(H195,0,$O$4,FALSE)</f>
        <v>1667.2089676290816</v>
      </c>
      <c r="J195" s="22">
        <f t="shared" ref="J195:J252" si="27">LN(I195)</f>
        <v>7.4189062304007969</v>
      </c>
      <c r="O195" s="4"/>
    </row>
    <row r="196" spans="1:15" x14ac:dyDescent="0.2">
      <c r="A196" s="15">
        <v>195</v>
      </c>
      <c r="B196" s="3">
        <v>45161</v>
      </c>
      <c r="C196" s="4">
        <v>5.57</v>
      </c>
      <c r="D196" s="16">
        <f t="shared" si="24"/>
        <v>5.57E-2</v>
      </c>
      <c r="E196" s="17">
        <f t="shared" si="25"/>
        <v>0</v>
      </c>
      <c r="F196" s="18">
        <f t="shared" si="21"/>
        <v>0</v>
      </c>
      <c r="G196" s="19">
        <f t="shared" si="22"/>
        <v>-3.5285960164681973E-5</v>
      </c>
      <c r="H196" s="20">
        <f t="shared" si="23"/>
        <v>3.5285960164681973E-5</v>
      </c>
      <c r="I196" s="21">
        <f t="shared" si="26"/>
        <v>2163.3751789849962</v>
      </c>
      <c r="J196" s="22">
        <f t="shared" si="27"/>
        <v>7.6794248639793121</v>
      </c>
      <c r="O196" s="4"/>
    </row>
    <row r="197" spans="1:15" x14ac:dyDescent="0.2">
      <c r="A197" s="15">
        <v>196</v>
      </c>
      <c r="B197" s="3">
        <v>45160</v>
      </c>
      <c r="C197" s="4">
        <v>5.57</v>
      </c>
      <c r="D197" s="16">
        <f t="shared" si="24"/>
        <v>5.57E-2</v>
      </c>
      <c r="E197" s="17">
        <f t="shared" si="25"/>
        <v>0</v>
      </c>
      <c r="F197" s="18">
        <f t="shared" si="21"/>
        <v>0</v>
      </c>
      <c r="G197" s="19">
        <f t="shared" si="22"/>
        <v>-3.5285960164681973E-5</v>
      </c>
      <c r="H197" s="20">
        <f t="shared" si="23"/>
        <v>3.5285960164681973E-5</v>
      </c>
      <c r="I197" s="21">
        <f t="shared" si="26"/>
        <v>2163.3751789849962</v>
      </c>
      <c r="J197" s="22">
        <f t="shared" si="27"/>
        <v>7.6794248639793121</v>
      </c>
      <c r="O197" s="4"/>
    </row>
    <row r="198" spans="1:15" x14ac:dyDescent="0.2">
      <c r="A198" s="15">
        <v>197</v>
      </c>
      <c r="B198" s="3">
        <v>45159</v>
      </c>
      <c r="C198" s="4">
        <v>5.57</v>
      </c>
      <c r="D198" s="16">
        <f t="shared" si="24"/>
        <v>5.57E-2</v>
      </c>
      <c r="E198" s="17">
        <f t="shared" si="25"/>
        <v>3.6036036036035668E-3</v>
      </c>
      <c r="F198" s="18">
        <f t="shared" si="21"/>
        <v>1.9999999999999879E-4</v>
      </c>
      <c r="G198" s="19">
        <f t="shared" si="22"/>
        <v>-2.6493422735861296E-5</v>
      </c>
      <c r="H198" s="20">
        <f t="shared" si="23"/>
        <v>2.2649342273586007E-4</v>
      </c>
      <c r="I198" s="21">
        <f t="shared" si="26"/>
        <v>1007.2059135440981</v>
      </c>
      <c r="J198" s="22">
        <f t="shared" si="27"/>
        <v>6.9149353539838492</v>
      </c>
      <c r="O198" s="4"/>
    </row>
    <row r="199" spans="1:15" x14ac:dyDescent="0.2">
      <c r="A199" s="15">
        <v>198</v>
      </c>
      <c r="B199" s="3">
        <v>45156</v>
      </c>
      <c r="C199" s="4">
        <v>5.55</v>
      </c>
      <c r="D199" s="16">
        <f t="shared" si="24"/>
        <v>5.5500000000000001E-2</v>
      </c>
      <c r="E199" s="17">
        <f t="shared" si="25"/>
        <v>-1.7985611510790145E-3</v>
      </c>
      <c r="F199" s="18">
        <f t="shared" si="21"/>
        <v>-9.9999999999995925E-5</v>
      </c>
      <c r="G199" s="19">
        <f t="shared" si="22"/>
        <v>-3.0889691450271478E-5</v>
      </c>
      <c r="H199" s="20">
        <f t="shared" si="23"/>
        <v>-6.9110308549724447E-5</v>
      </c>
      <c r="I199" s="21">
        <f t="shared" si="26"/>
        <v>2049.7907023138209</v>
      </c>
      <c r="J199" s="22">
        <f t="shared" si="27"/>
        <v>7.6254929704879757</v>
      </c>
      <c r="O199" s="4"/>
    </row>
    <row r="200" spans="1:15" x14ac:dyDescent="0.2">
      <c r="A200" s="15">
        <v>199</v>
      </c>
      <c r="B200" s="3">
        <v>45155</v>
      </c>
      <c r="C200" s="4">
        <v>5.56</v>
      </c>
      <c r="D200" s="16">
        <f t="shared" si="24"/>
        <v>5.5599999999999997E-2</v>
      </c>
      <c r="E200" s="17">
        <f t="shared" si="25"/>
        <v>0</v>
      </c>
      <c r="F200" s="18">
        <f t="shared" si="21"/>
        <v>0</v>
      </c>
      <c r="G200" s="19">
        <f t="shared" si="22"/>
        <v>-3.0889691450271478E-5</v>
      </c>
      <c r="H200" s="20">
        <f t="shared" si="23"/>
        <v>3.0889691450271478E-5</v>
      </c>
      <c r="I200" s="21">
        <f t="shared" si="26"/>
        <v>2173.0092707218218</v>
      </c>
      <c r="J200" s="22">
        <f t="shared" si="27"/>
        <v>7.6838682465712234</v>
      </c>
      <c r="O200" s="4"/>
    </row>
    <row r="201" spans="1:15" x14ac:dyDescent="0.2">
      <c r="A201" s="15">
        <v>200</v>
      </c>
      <c r="B201" s="3">
        <v>45154</v>
      </c>
      <c r="C201" s="4">
        <v>5.56</v>
      </c>
      <c r="D201" s="16">
        <f t="shared" si="24"/>
        <v>5.5599999999999997E-2</v>
      </c>
      <c r="E201" s="17">
        <f t="shared" si="25"/>
        <v>0</v>
      </c>
      <c r="F201" s="18">
        <f t="shared" si="21"/>
        <v>0</v>
      </c>
      <c r="G201" s="19">
        <f t="shared" si="22"/>
        <v>-3.0889691450271478E-5</v>
      </c>
      <c r="H201" s="20">
        <f t="shared" si="23"/>
        <v>3.0889691450271478E-5</v>
      </c>
      <c r="I201" s="21">
        <f t="shared" si="26"/>
        <v>2173.0092707218218</v>
      </c>
      <c r="J201" s="22">
        <f t="shared" si="27"/>
        <v>7.6838682465712234</v>
      </c>
      <c r="O201" s="4"/>
    </row>
    <row r="202" spans="1:15" x14ac:dyDescent="0.2">
      <c r="A202" s="15">
        <v>201</v>
      </c>
      <c r="B202" s="3">
        <v>45153</v>
      </c>
      <c r="C202" s="4">
        <v>5.56</v>
      </c>
      <c r="D202" s="16">
        <f t="shared" si="24"/>
        <v>5.5599999999999997E-2</v>
      </c>
      <c r="E202" s="17">
        <f t="shared" si="25"/>
        <v>0</v>
      </c>
      <c r="F202" s="18">
        <f t="shared" si="21"/>
        <v>0</v>
      </c>
      <c r="G202" s="19">
        <f t="shared" si="22"/>
        <v>-3.0889691450271478E-5</v>
      </c>
      <c r="H202" s="20">
        <f t="shared" si="23"/>
        <v>3.0889691450271478E-5</v>
      </c>
      <c r="I202" s="21">
        <f t="shared" si="26"/>
        <v>2173.0092707218218</v>
      </c>
      <c r="J202" s="22">
        <f t="shared" si="27"/>
        <v>7.6838682465712234</v>
      </c>
      <c r="O202" s="4"/>
    </row>
    <row r="203" spans="1:15" x14ac:dyDescent="0.2">
      <c r="A203" s="15">
        <v>202</v>
      </c>
      <c r="B203" s="3">
        <v>45152</v>
      </c>
      <c r="C203" s="4">
        <v>5.56</v>
      </c>
      <c r="D203" s="16">
        <f t="shared" si="24"/>
        <v>5.5599999999999997E-2</v>
      </c>
      <c r="E203" s="17">
        <f t="shared" si="25"/>
        <v>3.6101083032491488E-3</v>
      </c>
      <c r="F203" s="18">
        <f t="shared" si="21"/>
        <v>1.9999999999999879E-4</v>
      </c>
      <c r="G203" s="19">
        <f t="shared" si="22"/>
        <v>-2.2097154021450811E-5</v>
      </c>
      <c r="H203" s="20">
        <f t="shared" si="23"/>
        <v>2.220971540214496E-4</v>
      </c>
      <c r="I203" s="21">
        <f t="shared" si="26"/>
        <v>1038.0052208411219</v>
      </c>
      <c r="J203" s="22">
        <f t="shared" si="27"/>
        <v>6.9450560934252481</v>
      </c>
      <c r="O203" s="4"/>
    </row>
    <row r="204" spans="1:15" x14ac:dyDescent="0.2">
      <c r="A204" s="15">
        <v>203</v>
      </c>
      <c r="B204" s="3">
        <v>45149</v>
      </c>
      <c r="C204" s="4">
        <v>5.54</v>
      </c>
      <c r="D204" s="16">
        <f t="shared" si="24"/>
        <v>5.5399999999999998E-2</v>
      </c>
      <c r="E204" s="17">
        <f t="shared" si="25"/>
        <v>0</v>
      </c>
      <c r="F204" s="18">
        <f t="shared" si="21"/>
        <v>0</v>
      </c>
      <c r="G204" s="19">
        <f t="shared" si="22"/>
        <v>-2.2097154021450811E-5</v>
      </c>
      <c r="H204" s="20">
        <f t="shared" si="23"/>
        <v>2.2097154021450811E-5</v>
      </c>
      <c r="I204" s="21">
        <f t="shared" si="26"/>
        <v>2188.5267501711483</v>
      </c>
      <c r="J204" s="22">
        <f t="shared" si="27"/>
        <v>7.6909838796182317</v>
      </c>
      <c r="O204" s="4"/>
    </row>
    <row r="205" spans="1:15" x14ac:dyDescent="0.2">
      <c r="A205" s="15">
        <v>204</v>
      </c>
      <c r="B205" s="3">
        <v>45148</v>
      </c>
      <c r="C205" s="4">
        <v>5.54</v>
      </c>
      <c r="D205" s="16">
        <f t="shared" si="24"/>
        <v>5.5399999999999998E-2</v>
      </c>
      <c r="E205" s="17">
        <f t="shared" si="25"/>
        <v>-1.8018018018018944E-3</v>
      </c>
      <c r="F205" s="18">
        <f t="shared" si="21"/>
        <v>-1.0000000000000286E-4</v>
      </c>
      <c r="G205" s="19">
        <f t="shared" si="22"/>
        <v>-2.6493422735861296E-5</v>
      </c>
      <c r="H205" s="20">
        <f t="shared" si="23"/>
        <v>-7.3506577264141569E-5</v>
      </c>
      <c r="I205" s="21">
        <f t="shared" si="26"/>
        <v>2030.2554872346052</v>
      </c>
      <c r="J205" s="22">
        <f t="shared" si="27"/>
        <v>7.6159169198972521</v>
      </c>
      <c r="O205" s="4"/>
    </row>
    <row r="206" spans="1:15" x14ac:dyDescent="0.2">
      <c r="A206" s="15">
        <v>205</v>
      </c>
      <c r="B206" s="3">
        <v>45147</v>
      </c>
      <c r="C206" s="4">
        <v>5.55</v>
      </c>
      <c r="D206" s="16">
        <f t="shared" si="24"/>
        <v>5.5500000000000001E-2</v>
      </c>
      <c r="E206" s="17">
        <f t="shared" si="25"/>
        <v>-3.5906642728904536E-3</v>
      </c>
      <c r="F206" s="18">
        <f t="shared" si="21"/>
        <v>-1.9999999999999879E-4</v>
      </c>
      <c r="G206" s="19">
        <f t="shared" si="22"/>
        <v>-3.5285960164681973E-5</v>
      </c>
      <c r="H206" s="20">
        <f t="shared" si="23"/>
        <v>-1.6471403983531682E-4</v>
      </c>
      <c r="I206" s="21">
        <f t="shared" si="26"/>
        <v>1456.9020395188616</v>
      </c>
      <c r="J206" s="22">
        <f t="shared" si="27"/>
        <v>7.2840675695620947</v>
      </c>
      <c r="O206" s="4"/>
    </row>
    <row r="207" spans="1:15" x14ac:dyDescent="0.2">
      <c r="A207" s="15">
        <v>206</v>
      </c>
      <c r="B207" s="3">
        <v>45146</v>
      </c>
      <c r="C207" s="4">
        <v>5.57</v>
      </c>
      <c r="D207" s="16">
        <f t="shared" si="24"/>
        <v>5.57E-2</v>
      </c>
      <c r="E207" s="17">
        <f t="shared" si="25"/>
        <v>1.7985611510791255E-3</v>
      </c>
      <c r="F207" s="18">
        <f t="shared" si="21"/>
        <v>1.0000000000000286E-4</v>
      </c>
      <c r="G207" s="19">
        <f t="shared" si="22"/>
        <v>-3.0889691450271478E-5</v>
      </c>
      <c r="H207" s="20">
        <f t="shared" si="23"/>
        <v>1.3088969145027434E-4</v>
      </c>
      <c r="I207" s="21">
        <f t="shared" si="26"/>
        <v>1697.2739239505493</v>
      </c>
      <c r="J207" s="22">
        <f t="shared" si="27"/>
        <v>7.436778668796391</v>
      </c>
      <c r="O207" s="4"/>
    </row>
    <row r="208" spans="1:15" x14ac:dyDescent="0.2">
      <c r="A208" s="15">
        <v>207</v>
      </c>
      <c r="B208" s="3">
        <v>45145</v>
      </c>
      <c r="C208" s="4">
        <v>5.56</v>
      </c>
      <c r="D208" s="16">
        <f t="shared" si="24"/>
        <v>5.5599999999999997E-2</v>
      </c>
      <c r="E208" s="17">
        <f t="shared" si="25"/>
        <v>3.6101083032491488E-3</v>
      </c>
      <c r="F208" s="18">
        <f t="shared" si="21"/>
        <v>1.9999999999999879E-4</v>
      </c>
      <c r="G208" s="19">
        <f t="shared" si="22"/>
        <v>-2.2097154021450811E-5</v>
      </c>
      <c r="H208" s="20">
        <f t="shared" si="23"/>
        <v>2.220971540214496E-4</v>
      </c>
      <c r="I208" s="21">
        <f t="shared" si="26"/>
        <v>1038.0052208411219</v>
      </c>
      <c r="J208" s="22">
        <f t="shared" si="27"/>
        <v>6.9450560934252481</v>
      </c>
      <c r="O208" s="4"/>
    </row>
    <row r="209" spans="1:15" x14ac:dyDescent="0.2">
      <c r="A209" s="15">
        <v>208</v>
      </c>
      <c r="B209" s="3">
        <v>45142</v>
      </c>
      <c r="C209" s="4">
        <v>5.54</v>
      </c>
      <c r="D209" s="16">
        <f t="shared" si="24"/>
        <v>5.5399999999999998E-2</v>
      </c>
      <c r="E209" s="17">
        <f t="shared" si="25"/>
        <v>0</v>
      </c>
      <c r="F209" s="18">
        <f t="shared" si="21"/>
        <v>0</v>
      </c>
      <c r="G209" s="19">
        <f t="shared" si="22"/>
        <v>-2.2097154021450811E-5</v>
      </c>
      <c r="H209" s="20">
        <f t="shared" si="23"/>
        <v>2.2097154021450811E-5</v>
      </c>
      <c r="I209" s="21">
        <f t="shared" si="26"/>
        <v>2188.5267501711483</v>
      </c>
      <c r="J209" s="22">
        <f t="shared" si="27"/>
        <v>7.6909838796182317</v>
      </c>
      <c r="O209" s="4"/>
    </row>
    <row r="210" spans="1:15" x14ac:dyDescent="0.2">
      <c r="A210" s="15">
        <v>209</v>
      </c>
      <c r="B210" s="3">
        <v>45141</v>
      </c>
      <c r="C210" s="4">
        <v>5.54</v>
      </c>
      <c r="D210" s="16">
        <f t="shared" si="24"/>
        <v>5.5399999999999998E-2</v>
      </c>
      <c r="E210" s="17">
        <f t="shared" si="25"/>
        <v>1.8083182640142859E-3</v>
      </c>
      <c r="F210" s="18">
        <f t="shared" si="21"/>
        <v>9.9999999999995925E-5</v>
      </c>
      <c r="G210" s="19">
        <f t="shared" si="22"/>
        <v>-1.7700885307040628E-5</v>
      </c>
      <c r="H210" s="20">
        <f t="shared" si="23"/>
        <v>1.1770088530703656E-4</v>
      </c>
      <c r="I210" s="21">
        <f t="shared" si="26"/>
        <v>1784.4289368777449</v>
      </c>
      <c r="J210" s="22">
        <f t="shared" si="27"/>
        <v>7.4868537197095675</v>
      </c>
      <c r="O210" s="4"/>
    </row>
    <row r="211" spans="1:15" x14ac:dyDescent="0.2">
      <c r="A211" s="15">
        <v>210</v>
      </c>
      <c r="B211" s="3">
        <v>45140</v>
      </c>
      <c r="C211" s="4">
        <v>5.53</v>
      </c>
      <c r="D211" s="16">
        <f t="shared" si="24"/>
        <v>5.5300000000000002E-2</v>
      </c>
      <c r="E211" s="17">
        <f t="shared" si="25"/>
        <v>-1.8050541516244634E-3</v>
      </c>
      <c r="F211" s="18">
        <f t="shared" si="21"/>
        <v>-9.9999999999995925E-5</v>
      </c>
      <c r="G211" s="19">
        <f t="shared" si="22"/>
        <v>-2.2097154021450811E-5</v>
      </c>
      <c r="H211" s="20">
        <f t="shared" si="23"/>
        <v>-7.7902845978545111E-5</v>
      </c>
      <c r="I211" s="21">
        <f t="shared" si="26"/>
        <v>2009.719606216946</v>
      </c>
      <c r="J211" s="22">
        <f t="shared" si="27"/>
        <v>7.6057504919276218</v>
      </c>
      <c r="O211" s="4"/>
    </row>
    <row r="212" spans="1:15" x14ac:dyDescent="0.2">
      <c r="A212" s="15">
        <v>211</v>
      </c>
      <c r="B212" s="3">
        <v>45139</v>
      </c>
      <c r="C212" s="4">
        <v>5.54</v>
      </c>
      <c r="D212" s="16">
        <f t="shared" si="24"/>
        <v>5.5399999999999998E-2</v>
      </c>
      <c r="E212" s="17">
        <f t="shared" si="25"/>
        <v>-1.8018018018018944E-3</v>
      </c>
      <c r="F212" s="18">
        <f t="shared" si="21"/>
        <v>-1.0000000000000286E-4</v>
      </c>
      <c r="G212" s="19">
        <f t="shared" si="22"/>
        <v>-2.6493422735861296E-5</v>
      </c>
      <c r="H212" s="20">
        <f t="shared" si="23"/>
        <v>-7.3506577264141569E-5</v>
      </c>
      <c r="I212" s="21">
        <f t="shared" si="26"/>
        <v>2030.2554872346052</v>
      </c>
      <c r="J212" s="22">
        <f t="shared" si="27"/>
        <v>7.6159169198972521</v>
      </c>
      <c r="O212" s="4"/>
    </row>
    <row r="213" spans="1:15" x14ac:dyDescent="0.2">
      <c r="A213" s="15">
        <v>212</v>
      </c>
      <c r="B213" s="3">
        <v>45138</v>
      </c>
      <c r="C213" s="4">
        <v>5.55</v>
      </c>
      <c r="D213" s="16">
        <f t="shared" si="24"/>
        <v>5.5500000000000001E-2</v>
      </c>
      <c r="E213" s="17">
        <f t="shared" si="25"/>
        <v>5.4347826086957873E-3</v>
      </c>
      <c r="F213" s="18">
        <f t="shared" si="21"/>
        <v>3.0000000000000165E-4</v>
      </c>
      <c r="G213" s="19">
        <f t="shared" si="22"/>
        <v>-1.3304616592630141E-5</v>
      </c>
      <c r="H213" s="20">
        <f t="shared" si="23"/>
        <v>3.133046165926318E-4</v>
      </c>
      <c r="I213" s="21">
        <f t="shared" si="26"/>
        <v>492.36650985604081</v>
      </c>
      <c r="J213" s="22">
        <f t="shared" si="27"/>
        <v>6.1992233778949615</v>
      </c>
      <c r="O213" s="4"/>
    </row>
    <row r="214" spans="1:15" x14ac:dyDescent="0.2">
      <c r="A214" s="15">
        <v>213</v>
      </c>
      <c r="B214" s="3">
        <v>45135</v>
      </c>
      <c r="C214" s="4">
        <v>5.52</v>
      </c>
      <c r="D214" s="16">
        <f t="shared" si="24"/>
        <v>5.5199999999999999E-2</v>
      </c>
      <c r="E214" s="17">
        <f t="shared" si="25"/>
        <v>1.8148820326679971E-3</v>
      </c>
      <c r="F214" s="18">
        <f t="shared" si="21"/>
        <v>1.0000000000000286E-4</v>
      </c>
      <c r="G214" s="19">
        <f t="shared" si="22"/>
        <v>-8.9083478782196544E-6</v>
      </c>
      <c r="H214" s="20">
        <f t="shared" si="23"/>
        <v>1.0890834787822252E-4</v>
      </c>
      <c r="I214" s="21">
        <f t="shared" si="26"/>
        <v>1839.5664541412116</v>
      </c>
      <c r="J214" s="22">
        <f t="shared" si="27"/>
        <v>7.5172852000902886</v>
      </c>
      <c r="O214" s="4"/>
    </row>
    <row r="215" spans="1:15" x14ac:dyDescent="0.2">
      <c r="A215" s="15">
        <v>214</v>
      </c>
      <c r="B215" s="3">
        <v>45134</v>
      </c>
      <c r="C215" s="4">
        <v>5.51</v>
      </c>
      <c r="D215" s="16">
        <f t="shared" si="24"/>
        <v>5.5099999999999996E-2</v>
      </c>
      <c r="E215" s="17">
        <f t="shared" si="25"/>
        <v>0</v>
      </c>
      <c r="F215" s="18">
        <f t="shared" si="21"/>
        <v>0</v>
      </c>
      <c r="G215" s="19">
        <f t="shared" si="22"/>
        <v>-8.9083478782196544E-6</v>
      </c>
      <c r="H215" s="20">
        <f t="shared" si="23"/>
        <v>8.9083478782196544E-6</v>
      </c>
      <c r="I215" s="21">
        <f t="shared" si="26"/>
        <v>2202.2382286898564</v>
      </c>
      <c r="J215" s="22">
        <f t="shared" si="27"/>
        <v>7.6972294988467089</v>
      </c>
      <c r="O215" s="4"/>
    </row>
    <row r="216" spans="1:15" x14ac:dyDescent="0.2">
      <c r="A216" s="15">
        <v>215</v>
      </c>
      <c r="B216" s="3">
        <v>45133</v>
      </c>
      <c r="C216" s="4">
        <v>5.51</v>
      </c>
      <c r="D216" s="16">
        <f t="shared" si="24"/>
        <v>5.5099999999999996E-2</v>
      </c>
      <c r="E216" s="17">
        <f t="shared" si="25"/>
        <v>0</v>
      </c>
      <c r="F216" s="18">
        <f t="shared" si="21"/>
        <v>0</v>
      </c>
      <c r="G216" s="19">
        <f t="shared" si="22"/>
        <v>-8.9083478782196544E-6</v>
      </c>
      <c r="H216" s="20">
        <f t="shared" si="23"/>
        <v>8.9083478782196544E-6</v>
      </c>
      <c r="I216" s="21">
        <f t="shared" si="26"/>
        <v>2202.2382286898564</v>
      </c>
      <c r="J216" s="22">
        <f t="shared" si="27"/>
        <v>7.6972294988467089</v>
      </c>
      <c r="O216" s="4"/>
    </row>
    <row r="217" spans="1:15" x14ac:dyDescent="0.2">
      <c r="A217" s="15">
        <v>216</v>
      </c>
      <c r="B217" s="3">
        <v>45132</v>
      </c>
      <c r="C217" s="4">
        <v>5.51</v>
      </c>
      <c r="D217" s="16">
        <f t="shared" si="24"/>
        <v>5.5099999999999996E-2</v>
      </c>
      <c r="E217" s="17">
        <f t="shared" si="25"/>
        <v>0</v>
      </c>
      <c r="F217" s="18">
        <f t="shared" si="21"/>
        <v>0</v>
      </c>
      <c r="G217" s="19">
        <f t="shared" si="22"/>
        <v>-8.9083478782196544E-6</v>
      </c>
      <c r="H217" s="20">
        <f t="shared" si="23"/>
        <v>8.9083478782196544E-6</v>
      </c>
      <c r="I217" s="21">
        <f t="shared" si="26"/>
        <v>2202.2382286898564</v>
      </c>
      <c r="J217" s="22">
        <f t="shared" si="27"/>
        <v>7.6972294988467089</v>
      </c>
      <c r="O217" s="4"/>
    </row>
    <row r="218" spans="1:15" x14ac:dyDescent="0.2">
      <c r="A218" s="15">
        <v>217</v>
      </c>
      <c r="B218" s="3">
        <v>45131</v>
      </c>
      <c r="C218" s="4">
        <v>5.51</v>
      </c>
      <c r="D218" s="16">
        <f t="shared" si="24"/>
        <v>5.5099999999999996E-2</v>
      </c>
      <c r="E218" s="17">
        <f t="shared" si="25"/>
        <v>1.8181818181817189E-3</v>
      </c>
      <c r="F218" s="18">
        <f t="shared" si="21"/>
        <v>9.9999999999995925E-5</v>
      </c>
      <c r="G218" s="19">
        <f t="shared" si="22"/>
        <v>-4.5120791638094724E-6</v>
      </c>
      <c r="H218" s="20">
        <f t="shared" si="23"/>
        <v>1.045120791638054E-4</v>
      </c>
      <c r="I218" s="21">
        <f t="shared" si="26"/>
        <v>1866.1175482764136</v>
      </c>
      <c r="J218" s="22">
        <f t="shared" si="27"/>
        <v>7.5316153742122758</v>
      </c>
      <c r="O218" s="4"/>
    </row>
    <row r="219" spans="1:15" x14ac:dyDescent="0.2">
      <c r="A219" s="15">
        <v>218</v>
      </c>
      <c r="B219" s="3">
        <v>45128</v>
      </c>
      <c r="C219" s="4">
        <v>5.5</v>
      </c>
      <c r="D219" s="16">
        <f t="shared" si="24"/>
        <v>5.5E-2</v>
      </c>
      <c r="E219" s="17">
        <f t="shared" si="25"/>
        <v>1.8214936247722413E-3</v>
      </c>
      <c r="F219" s="18">
        <f t="shared" si="21"/>
        <v>9.9999999999995925E-5</v>
      </c>
      <c r="G219" s="19">
        <f t="shared" si="22"/>
        <v>-1.158104493992904E-7</v>
      </c>
      <c r="H219" s="20">
        <f t="shared" si="23"/>
        <v>1.0011581044939522E-4</v>
      </c>
      <c r="I219" s="21">
        <f t="shared" si="26"/>
        <v>1891.9345783129643</v>
      </c>
      <c r="J219" s="22">
        <f t="shared" si="27"/>
        <v>7.5453551709553022</v>
      </c>
      <c r="O219" s="4"/>
    </row>
    <row r="220" spans="1:15" x14ac:dyDescent="0.2">
      <c r="A220" s="15">
        <v>219</v>
      </c>
      <c r="B220" s="3">
        <v>45127</v>
      </c>
      <c r="C220" s="4">
        <v>5.49</v>
      </c>
      <c r="D220" s="16">
        <f t="shared" si="24"/>
        <v>5.4900000000000004E-2</v>
      </c>
      <c r="E220" s="17">
        <f t="shared" si="25"/>
        <v>0</v>
      </c>
      <c r="F220" s="18">
        <f t="shared" si="21"/>
        <v>0</v>
      </c>
      <c r="G220" s="19">
        <f t="shared" si="22"/>
        <v>-1.158104493992904E-7</v>
      </c>
      <c r="H220" s="20">
        <f t="shared" si="23"/>
        <v>1.158104493992904E-7</v>
      </c>
      <c r="I220" s="21">
        <f t="shared" si="26"/>
        <v>2204.9086492349115</v>
      </c>
      <c r="J220" s="22">
        <f t="shared" si="27"/>
        <v>7.6984413581043372</v>
      </c>
      <c r="O220" s="4"/>
    </row>
    <row r="221" spans="1:15" x14ac:dyDescent="0.2">
      <c r="A221" s="15">
        <v>220</v>
      </c>
      <c r="B221" s="3">
        <v>45126</v>
      </c>
      <c r="C221" s="4">
        <v>5.49</v>
      </c>
      <c r="D221" s="16">
        <f t="shared" si="24"/>
        <v>5.4900000000000004E-2</v>
      </c>
      <c r="E221" s="17">
        <f t="shared" si="25"/>
        <v>0</v>
      </c>
      <c r="F221" s="18">
        <f t="shared" si="21"/>
        <v>0</v>
      </c>
      <c r="G221" s="19">
        <f t="shared" si="22"/>
        <v>-1.158104493992904E-7</v>
      </c>
      <c r="H221" s="20">
        <f t="shared" si="23"/>
        <v>1.158104493992904E-7</v>
      </c>
      <c r="I221" s="21">
        <f t="shared" si="26"/>
        <v>2204.9086492349115</v>
      </c>
      <c r="J221" s="22">
        <f t="shared" si="27"/>
        <v>7.6984413581043372</v>
      </c>
      <c r="O221" s="4"/>
    </row>
    <row r="222" spans="1:15" x14ac:dyDescent="0.2">
      <c r="A222" s="15">
        <v>221</v>
      </c>
      <c r="B222" s="3">
        <v>45125</v>
      </c>
      <c r="C222" s="4">
        <v>5.49</v>
      </c>
      <c r="D222" s="16">
        <f t="shared" si="24"/>
        <v>5.4900000000000004E-2</v>
      </c>
      <c r="E222" s="17">
        <f t="shared" si="25"/>
        <v>0</v>
      </c>
      <c r="F222" s="18">
        <f t="shared" si="21"/>
        <v>0</v>
      </c>
      <c r="G222" s="19">
        <f t="shared" si="22"/>
        <v>-1.158104493992904E-7</v>
      </c>
      <c r="H222" s="20">
        <f t="shared" si="23"/>
        <v>1.158104493992904E-7</v>
      </c>
      <c r="I222" s="21">
        <f t="shared" si="26"/>
        <v>2204.9086492349115</v>
      </c>
      <c r="J222" s="22">
        <f t="shared" si="27"/>
        <v>7.6984413581043372</v>
      </c>
      <c r="O222" s="4"/>
    </row>
    <row r="223" spans="1:15" x14ac:dyDescent="0.2">
      <c r="A223" s="15">
        <v>222</v>
      </c>
      <c r="B223" s="3">
        <v>45124</v>
      </c>
      <c r="C223" s="4">
        <v>5.49</v>
      </c>
      <c r="D223" s="16">
        <f t="shared" si="24"/>
        <v>5.4900000000000004E-2</v>
      </c>
      <c r="E223" s="17">
        <f t="shared" si="25"/>
        <v>0</v>
      </c>
      <c r="F223" s="18">
        <f t="shared" si="21"/>
        <v>0</v>
      </c>
      <c r="G223" s="19">
        <f t="shared" si="22"/>
        <v>-1.158104493992904E-7</v>
      </c>
      <c r="H223" s="20">
        <f t="shared" si="23"/>
        <v>1.158104493992904E-7</v>
      </c>
      <c r="I223" s="21">
        <f t="shared" si="26"/>
        <v>2204.9086492349115</v>
      </c>
      <c r="J223" s="22">
        <f t="shared" si="27"/>
        <v>7.6984413581043372</v>
      </c>
      <c r="O223" s="4"/>
    </row>
    <row r="224" spans="1:15" x14ac:dyDescent="0.2">
      <c r="A224" s="15">
        <v>223</v>
      </c>
      <c r="B224" s="3">
        <v>45121</v>
      </c>
      <c r="C224" s="4">
        <v>5.49</v>
      </c>
      <c r="D224" s="16">
        <f t="shared" si="24"/>
        <v>5.4900000000000004E-2</v>
      </c>
      <c r="E224" s="17">
        <f t="shared" si="25"/>
        <v>3.6563071297990302E-3</v>
      </c>
      <c r="F224" s="18">
        <f t="shared" si="21"/>
        <v>2.0000000000000573E-4</v>
      </c>
      <c r="G224" s="19">
        <f t="shared" si="22"/>
        <v>8.6767269794216835E-6</v>
      </c>
      <c r="H224" s="20">
        <f t="shared" si="23"/>
        <v>1.9132327302058406E-4</v>
      </c>
      <c r="I224" s="21">
        <f t="shared" si="26"/>
        <v>1260.6348255969526</v>
      </c>
      <c r="J224" s="22">
        <f t="shared" si="27"/>
        <v>7.1393707029047375</v>
      </c>
      <c r="O224" s="4"/>
    </row>
    <row r="225" spans="1:15" x14ac:dyDescent="0.2">
      <c r="A225" s="15">
        <v>224</v>
      </c>
      <c r="B225" s="3">
        <v>45120</v>
      </c>
      <c r="C225" s="4">
        <v>5.47</v>
      </c>
      <c r="D225" s="16">
        <f t="shared" si="24"/>
        <v>5.4699999999999999E-2</v>
      </c>
      <c r="E225" s="17">
        <f t="shared" si="25"/>
        <v>0</v>
      </c>
      <c r="F225" s="18">
        <f t="shared" si="21"/>
        <v>0</v>
      </c>
      <c r="G225" s="19">
        <f t="shared" si="22"/>
        <v>8.6767269794216835E-6</v>
      </c>
      <c r="H225" s="20">
        <f t="shared" si="23"/>
        <v>-8.6767269794216835E-6</v>
      </c>
      <c r="I225" s="21">
        <f t="shared" si="26"/>
        <v>2202.37523198811</v>
      </c>
      <c r="J225" s="22">
        <f t="shared" si="27"/>
        <v>7.6972917078462144</v>
      </c>
      <c r="O225" s="4"/>
    </row>
    <row r="226" spans="1:15" x14ac:dyDescent="0.2">
      <c r="A226" s="15">
        <v>225</v>
      </c>
      <c r="B226" s="3">
        <v>45119</v>
      </c>
      <c r="C226" s="4">
        <v>5.47</v>
      </c>
      <c r="D226" s="16">
        <f t="shared" si="24"/>
        <v>5.4699999999999999E-2</v>
      </c>
      <c r="E226" s="17">
        <f t="shared" si="25"/>
        <v>-3.6429872495447047E-3</v>
      </c>
      <c r="F226" s="18">
        <f t="shared" si="21"/>
        <v>-2.0000000000000573E-4</v>
      </c>
      <c r="G226" s="19">
        <f t="shared" si="22"/>
        <v>-1.158104493992904E-7</v>
      </c>
      <c r="H226" s="20">
        <f t="shared" si="23"/>
        <v>-1.9988418955060644E-4</v>
      </c>
      <c r="I226" s="21">
        <f t="shared" si="26"/>
        <v>1197.7728713323932</v>
      </c>
      <c r="J226" s="22">
        <f t="shared" si="27"/>
        <v>7.088219170828169</v>
      </c>
      <c r="O226" s="4"/>
    </row>
    <row r="227" spans="1:15" x14ac:dyDescent="0.2">
      <c r="A227" s="15">
        <v>226</v>
      </c>
      <c r="B227" s="3">
        <v>45118</v>
      </c>
      <c r="C227" s="4">
        <v>5.49</v>
      </c>
      <c r="D227" s="16">
        <f t="shared" si="24"/>
        <v>5.4900000000000004E-2</v>
      </c>
      <c r="E227" s="17">
        <f t="shared" si="25"/>
        <v>1.8248175182482562E-3</v>
      </c>
      <c r="F227" s="18">
        <f t="shared" si="21"/>
        <v>1.0000000000000286E-4</v>
      </c>
      <c r="G227" s="19">
        <f t="shared" si="22"/>
        <v>4.2804582650111966E-6</v>
      </c>
      <c r="H227" s="20">
        <f t="shared" si="23"/>
        <v>9.5719541734991674E-5</v>
      </c>
      <c r="I227" s="21">
        <f t="shared" si="26"/>
        <v>1916.976703365292</v>
      </c>
      <c r="J227" s="22">
        <f t="shared" si="27"/>
        <v>7.5585045903193704</v>
      </c>
      <c r="O227" s="4"/>
    </row>
    <row r="228" spans="1:15" x14ac:dyDescent="0.2">
      <c r="A228" s="15">
        <v>227</v>
      </c>
      <c r="B228" s="3">
        <v>45117</v>
      </c>
      <c r="C228" s="4">
        <v>5.48</v>
      </c>
      <c r="D228" s="16">
        <f t="shared" si="24"/>
        <v>5.4800000000000001E-2</v>
      </c>
      <c r="E228" s="17">
        <f t="shared" si="25"/>
        <v>3.66300366300365E-3</v>
      </c>
      <c r="F228" s="18">
        <f t="shared" si="21"/>
        <v>1.9999999999999879E-4</v>
      </c>
      <c r="G228" s="19">
        <f t="shared" si="22"/>
        <v>1.3072995693831865E-5</v>
      </c>
      <c r="H228" s="20">
        <f t="shared" si="23"/>
        <v>1.8692700430616692E-4</v>
      </c>
      <c r="I228" s="21">
        <f t="shared" si="26"/>
        <v>1293.0621230861843</v>
      </c>
      <c r="J228" s="22">
        <f t="shared" si="27"/>
        <v>7.1647684233146718</v>
      </c>
      <c r="O228" s="4"/>
    </row>
    <row r="229" spans="1:15" x14ac:dyDescent="0.2">
      <c r="A229" s="15">
        <v>228</v>
      </c>
      <c r="B229" s="3">
        <v>45114</v>
      </c>
      <c r="C229" s="4">
        <v>5.46</v>
      </c>
      <c r="D229" s="16">
        <f t="shared" si="24"/>
        <v>5.4600000000000003E-2</v>
      </c>
      <c r="E229" s="17">
        <f t="shared" si="25"/>
        <v>0</v>
      </c>
      <c r="F229" s="18">
        <f t="shared" si="21"/>
        <v>0</v>
      </c>
      <c r="G229" s="19">
        <f t="shared" si="22"/>
        <v>1.3072995693831865E-5</v>
      </c>
      <c r="H229" s="20">
        <f t="shared" si="23"/>
        <v>-1.3072995693831865E-5</v>
      </c>
      <c r="I229" s="21">
        <f t="shared" si="26"/>
        <v>2199.1612499925154</v>
      </c>
      <c r="J229" s="22">
        <f t="shared" si="27"/>
        <v>7.6958313166487455</v>
      </c>
      <c r="O229" s="4"/>
    </row>
    <row r="230" spans="1:15" x14ac:dyDescent="0.2">
      <c r="A230" s="15">
        <v>229</v>
      </c>
      <c r="B230" s="3">
        <v>45113</v>
      </c>
      <c r="C230" s="4">
        <v>5.46</v>
      </c>
      <c r="D230" s="16">
        <f t="shared" si="24"/>
        <v>5.4600000000000003E-2</v>
      </c>
      <c r="E230" s="17">
        <f t="shared" si="25"/>
        <v>3.6764705882352811E-3</v>
      </c>
      <c r="F230" s="18">
        <f t="shared" si="21"/>
        <v>1.9999999999999879E-4</v>
      </c>
      <c r="G230" s="19">
        <f t="shared" si="22"/>
        <v>2.1865533122652535E-5</v>
      </c>
      <c r="H230" s="20">
        <f t="shared" si="23"/>
        <v>1.7813446687734626E-4</v>
      </c>
      <c r="I230" s="21">
        <f t="shared" si="26"/>
        <v>1358.0331680327347</v>
      </c>
      <c r="J230" s="22">
        <f t="shared" si="27"/>
        <v>7.2137927319976471</v>
      </c>
      <c r="O230" s="4"/>
    </row>
    <row r="231" spans="1:15" x14ac:dyDescent="0.2">
      <c r="A231" s="15">
        <v>230</v>
      </c>
      <c r="B231" s="3">
        <v>45112</v>
      </c>
      <c r="C231" s="4">
        <v>5.44</v>
      </c>
      <c r="D231" s="16">
        <f t="shared" si="24"/>
        <v>5.4400000000000004E-2</v>
      </c>
      <c r="E231" s="17">
        <f t="shared" si="25"/>
        <v>0</v>
      </c>
      <c r="F231" s="18">
        <f t="shared" si="21"/>
        <v>0</v>
      </c>
      <c r="G231" s="19">
        <f t="shared" si="22"/>
        <v>2.1865533122652535E-5</v>
      </c>
      <c r="H231" s="20">
        <f t="shared" si="23"/>
        <v>-2.1865533122652535E-5</v>
      </c>
      <c r="I231" s="21">
        <f t="shared" si="26"/>
        <v>2188.8671417885362</v>
      </c>
      <c r="J231" s="22">
        <f t="shared" si="27"/>
        <v>7.6911394021169945</v>
      </c>
      <c r="O231" s="4"/>
    </row>
    <row r="232" spans="1:15" x14ac:dyDescent="0.2">
      <c r="A232" s="15">
        <v>231</v>
      </c>
      <c r="B232" s="3">
        <v>45110</v>
      </c>
      <c r="C232" s="4">
        <v>5.44</v>
      </c>
      <c r="D232" s="16">
        <f t="shared" si="24"/>
        <v>5.4400000000000004E-2</v>
      </c>
      <c r="E232" s="17">
        <f t="shared" si="25"/>
        <v>1.8416206261511192E-3</v>
      </c>
      <c r="F232" s="18">
        <f t="shared" si="21"/>
        <v>1.000000000000098E-4</v>
      </c>
      <c r="G232" s="19">
        <f t="shared" si="22"/>
        <v>2.6261801837063325E-5</v>
      </c>
      <c r="H232" s="20">
        <f t="shared" si="23"/>
        <v>7.3738198162946479E-5</v>
      </c>
      <c r="I232" s="21">
        <f t="shared" si="26"/>
        <v>2029.1982158534686</v>
      </c>
      <c r="J232" s="22">
        <f t="shared" si="27"/>
        <v>7.6153960264557341</v>
      </c>
      <c r="O232" s="4"/>
    </row>
    <row r="233" spans="1:15" x14ac:dyDescent="0.2">
      <c r="A233" s="15">
        <v>232</v>
      </c>
      <c r="B233" s="3">
        <v>45107</v>
      </c>
      <c r="C233" s="4">
        <v>5.43</v>
      </c>
      <c r="D233" s="16">
        <f t="shared" si="24"/>
        <v>5.4299999999999994E-2</v>
      </c>
      <c r="E233" s="17">
        <f t="shared" si="25"/>
        <v>-5.494505494505697E-3</v>
      </c>
      <c r="F233" s="18">
        <f t="shared" si="21"/>
        <v>-3.0000000000000859E-4</v>
      </c>
      <c r="G233" s="19">
        <f t="shared" si="22"/>
        <v>1.3072995693831865E-5</v>
      </c>
      <c r="H233" s="20">
        <f t="shared" si="23"/>
        <v>-3.1307299569384043E-4</v>
      </c>
      <c r="I233" s="21">
        <f t="shared" si="26"/>
        <v>493.45874208510452</v>
      </c>
      <c r="J233" s="22">
        <f t="shared" si="27"/>
        <v>6.2014392527142101</v>
      </c>
      <c r="O233" s="4"/>
    </row>
    <row r="234" spans="1:15" x14ac:dyDescent="0.2">
      <c r="A234" s="15">
        <v>233</v>
      </c>
      <c r="B234" s="3">
        <v>45106</v>
      </c>
      <c r="C234" s="4">
        <v>5.46</v>
      </c>
      <c r="D234" s="16">
        <f t="shared" si="24"/>
        <v>5.4600000000000003E-2</v>
      </c>
      <c r="E234" s="17">
        <f t="shared" si="25"/>
        <v>3.6764705882352811E-3</v>
      </c>
      <c r="F234" s="18">
        <f t="shared" si="21"/>
        <v>1.9999999999999879E-4</v>
      </c>
      <c r="G234" s="19">
        <f t="shared" si="22"/>
        <v>2.1865533122652535E-5</v>
      </c>
      <c r="H234" s="20">
        <f t="shared" si="23"/>
        <v>1.7813446687734626E-4</v>
      </c>
      <c r="I234" s="21">
        <f t="shared" si="26"/>
        <v>1358.0331680327347</v>
      </c>
      <c r="J234" s="22">
        <f t="shared" si="27"/>
        <v>7.2137927319976471</v>
      </c>
      <c r="O234" s="4"/>
    </row>
    <row r="235" spans="1:15" x14ac:dyDescent="0.2">
      <c r="A235" s="15">
        <v>234</v>
      </c>
      <c r="B235" s="3">
        <v>45105</v>
      </c>
      <c r="C235" s="4">
        <v>5.44</v>
      </c>
      <c r="D235" s="16">
        <f t="shared" si="24"/>
        <v>5.4400000000000004E-2</v>
      </c>
      <c r="E235" s="17">
        <f t="shared" si="25"/>
        <v>0</v>
      </c>
      <c r="F235" s="18">
        <f t="shared" si="21"/>
        <v>0</v>
      </c>
      <c r="G235" s="19">
        <f t="shared" si="22"/>
        <v>2.1865533122652535E-5</v>
      </c>
      <c r="H235" s="20">
        <f t="shared" si="23"/>
        <v>-2.1865533122652535E-5</v>
      </c>
      <c r="I235" s="21">
        <f t="shared" si="26"/>
        <v>2188.8671417885362</v>
      </c>
      <c r="J235" s="22">
        <f t="shared" si="27"/>
        <v>7.6911394021169945</v>
      </c>
      <c r="O235" s="4"/>
    </row>
    <row r="236" spans="1:15" x14ac:dyDescent="0.2">
      <c r="A236" s="15">
        <v>235</v>
      </c>
      <c r="B236" s="3">
        <v>45104</v>
      </c>
      <c r="C236" s="4">
        <v>5.44</v>
      </c>
      <c r="D236" s="16">
        <f t="shared" si="24"/>
        <v>5.4400000000000004E-2</v>
      </c>
      <c r="E236" s="17">
        <f t="shared" si="25"/>
        <v>-1.0909090909090868E-2</v>
      </c>
      <c r="F236" s="18">
        <f t="shared" si="21"/>
        <v>-5.9999999999999637E-4</v>
      </c>
      <c r="G236" s="19">
        <f t="shared" si="22"/>
        <v>-4.5120791638094724E-6</v>
      </c>
      <c r="H236" s="20">
        <f t="shared" si="23"/>
        <v>-5.9548792083618694E-4</v>
      </c>
      <c r="I236" s="21">
        <f t="shared" si="26"/>
        <v>9.8007620598437413</v>
      </c>
      <c r="J236" s="22">
        <f t="shared" si="27"/>
        <v>2.2824601438618251</v>
      </c>
      <c r="O236" s="4"/>
    </row>
    <row r="237" spans="1:15" x14ac:dyDescent="0.2">
      <c r="A237" s="15">
        <v>236</v>
      </c>
      <c r="B237" s="3">
        <v>45103</v>
      </c>
      <c r="C237" s="4">
        <v>5.5</v>
      </c>
      <c r="D237" s="16">
        <f t="shared" si="24"/>
        <v>5.5E-2</v>
      </c>
      <c r="E237" s="17">
        <f t="shared" si="25"/>
        <v>1.6635859519408491E-2</v>
      </c>
      <c r="F237" s="18">
        <f t="shared" si="21"/>
        <v>8.9999999999999802E-4</v>
      </c>
      <c r="G237" s="19">
        <f t="shared" si="22"/>
        <v>3.505433926588369E-5</v>
      </c>
      <c r="H237" s="20">
        <f t="shared" si="23"/>
        <v>8.6494566073411433E-4</v>
      </c>
      <c r="I237" s="21">
        <f t="shared" si="26"/>
        <v>2.4042198893325404E-2</v>
      </c>
      <c r="J237" s="22">
        <f t="shared" si="27"/>
        <v>-3.7279447053897048</v>
      </c>
      <c r="O237" s="4"/>
    </row>
    <row r="238" spans="1:15" x14ac:dyDescent="0.2">
      <c r="A238" s="15">
        <v>237</v>
      </c>
      <c r="B238" s="3">
        <v>45100</v>
      </c>
      <c r="C238" s="4">
        <v>5.41</v>
      </c>
      <c r="D238" s="16">
        <f t="shared" si="24"/>
        <v>5.4100000000000002E-2</v>
      </c>
      <c r="E238" s="17">
        <f t="shared" si="25"/>
        <v>1.8518518518517713E-3</v>
      </c>
      <c r="F238" s="18">
        <f t="shared" si="21"/>
        <v>9.9999999999995925E-5</v>
      </c>
      <c r="G238" s="19">
        <f t="shared" si="22"/>
        <v>3.9450607980293873E-5</v>
      </c>
      <c r="H238" s="20">
        <f t="shared" si="23"/>
        <v>6.0549392019702052E-5</v>
      </c>
      <c r="I238" s="21">
        <f t="shared" si="26"/>
        <v>2084.837846176054</v>
      </c>
      <c r="J238" s="22">
        <f t="shared" si="27"/>
        <v>7.6424463595903331</v>
      </c>
      <c r="O238" s="4"/>
    </row>
    <row r="239" spans="1:15" x14ac:dyDescent="0.2">
      <c r="A239" s="15">
        <v>238</v>
      </c>
      <c r="B239" s="3">
        <v>45099</v>
      </c>
      <c r="C239" s="4">
        <v>5.4</v>
      </c>
      <c r="D239" s="16">
        <f t="shared" si="24"/>
        <v>5.4000000000000006E-2</v>
      </c>
      <c r="E239" s="17">
        <f t="shared" si="25"/>
        <v>0</v>
      </c>
      <c r="F239" s="18">
        <f t="shared" si="21"/>
        <v>0</v>
      </c>
      <c r="G239" s="19">
        <f t="shared" si="22"/>
        <v>3.9450607980293873E-5</v>
      </c>
      <c r="H239" s="20">
        <f t="shared" si="23"/>
        <v>-3.9450607980293873E-5</v>
      </c>
      <c r="I239" s="21">
        <f t="shared" si="26"/>
        <v>2153.115290083153</v>
      </c>
      <c r="J239" s="22">
        <f t="shared" si="27"/>
        <v>7.6746710445062361</v>
      </c>
      <c r="O239" s="4"/>
    </row>
    <row r="240" spans="1:15" x14ac:dyDescent="0.2">
      <c r="A240" s="15">
        <v>239</v>
      </c>
      <c r="B240" s="3">
        <v>45098</v>
      </c>
      <c r="C240" s="4">
        <v>5.4</v>
      </c>
      <c r="D240" s="16">
        <f t="shared" si="24"/>
        <v>5.4000000000000006E-2</v>
      </c>
      <c r="E240" s="17">
        <f t="shared" si="25"/>
        <v>1.8552875695734272E-3</v>
      </c>
      <c r="F240" s="18">
        <f t="shared" si="21"/>
        <v>1.000000000000098E-4</v>
      </c>
      <c r="G240" s="19">
        <f t="shared" si="22"/>
        <v>4.3846876694704666E-5</v>
      </c>
      <c r="H240" s="20">
        <f t="shared" si="23"/>
        <v>5.6153123305305137E-5</v>
      </c>
      <c r="I240" s="21">
        <f t="shared" si="26"/>
        <v>2101.2388588261888</v>
      </c>
      <c r="J240" s="22">
        <f t="shared" si="27"/>
        <v>7.6502823825439572</v>
      </c>
      <c r="O240" s="4"/>
    </row>
    <row r="241" spans="1:15" x14ac:dyDescent="0.2">
      <c r="A241" s="15">
        <v>240</v>
      </c>
      <c r="B241" s="3">
        <v>45097</v>
      </c>
      <c r="C241" s="4">
        <v>5.39</v>
      </c>
      <c r="D241" s="16">
        <f t="shared" si="24"/>
        <v>5.3899999999999997E-2</v>
      </c>
      <c r="E241" s="17">
        <f t="shared" si="25"/>
        <v>9.3632958801497246E-3</v>
      </c>
      <c r="F241" s="18">
        <f t="shared" si="21"/>
        <v>5.0000000000000044E-4</v>
      </c>
      <c r="G241" s="19">
        <f t="shared" si="22"/>
        <v>6.5828220266756502E-5</v>
      </c>
      <c r="H241" s="20">
        <f t="shared" si="23"/>
        <v>4.3417177973324392E-4</v>
      </c>
      <c r="I241" s="21">
        <f t="shared" si="26"/>
        <v>123.88539417064902</v>
      </c>
      <c r="J241" s="22">
        <f t="shared" si="27"/>
        <v>4.8193568976720984</v>
      </c>
      <c r="O241" s="4"/>
    </row>
    <row r="242" spans="1:15" x14ac:dyDescent="0.2">
      <c r="A242" s="15">
        <v>241</v>
      </c>
      <c r="B242" s="3">
        <v>45093</v>
      </c>
      <c r="C242" s="4">
        <v>5.34</v>
      </c>
      <c r="D242" s="16">
        <f t="shared" si="24"/>
        <v>5.3399999999999996E-2</v>
      </c>
      <c r="E242" s="17">
        <f t="shared" si="25"/>
        <v>1.8761726078797558E-3</v>
      </c>
      <c r="F242" s="18">
        <f t="shared" si="21"/>
        <v>9.9999999999995925E-5</v>
      </c>
      <c r="G242" s="19">
        <f t="shared" si="22"/>
        <v>7.0224488981166671E-5</v>
      </c>
      <c r="H242" s="20">
        <f t="shared" si="23"/>
        <v>2.9775511018829254E-5</v>
      </c>
      <c r="I242" s="21">
        <f t="shared" si="26"/>
        <v>2175.2537324320842</v>
      </c>
      <c r="J242" s="22">
        <f t="shared" si="27"/>
        <v>7.6849005953081644</v>
      </c>
      <c r="O242" s="4"/>
    </row>
    <row r="243" spans="1:15" x14ac:dyDescent="0.2">
      <c r="A243" s="15">
        <v>242</v>
      </c>
      <c r="B243" s="3">
        <v>45092</v>
      </c>
      <c r="C243" s="4">
        <v>5.33</v>
      </c>
      <c r="D243" s="16">
        <f t="shared" si="24"/>
        <v>5.33E-2</v>
      </c>
      <c r="E243" s="17">
        <f t="shared" si="25"/>
        <v>-5.5970149253731227E-3</v>
      </c>
      <c r="F243" s="18">
        <f t="shared" si="21"/>
        <v>-3.0000000000000165E-4</v>
      </c>
      <c r="G243" s="19">
        <f t="shared" si="22"/>
        <v>5.703568283793552E-5</v>
      </c>
      <c r="H243" s="20">
        <f t="shared" si="23"/>
        <v>-3.5703568283793719E-4</v>
      </c>
      <c r="I243" s="21">
        <f t="shared" si="26"/>
        <v>314.6600692174236</v>
      </c>
      <c r="J243" s="22">
        <f t="shared" si="27"/>
        <v>5.7514929107875394</v>
      </c>
      <c r="O243" s="4"/>
    </row>
    <row r="244" spans="1:15" x14ac:dyDescent="0.2">
      <c r="A244" s="15">
        <v>243</v>
      </c>
      <c r="B244" s="3">
        <v>45091</v>
      </c>
      <c r="C244" s="4">
        <v>5.36</v>
      </c>
      <c r="D244" s="16">
        <f t="shared" si="24"/>
        <v>5.3600000000000002E-2</v>
      </c>
      <c r="E244" s="17">
        <f t="shared" si="25"/>
        <v>0</v>
      </c>
      <c r="F244" s="18">
        <f t="shared" si="21"/>
        <v>0</v>
      </c>
      <c r="G244" s="19">
        <f t="shared" si="22"/>
        <v>5.703568283793552E-5</v>
      </c>
      <c r="H244" s="20">
        <f t="shared" si="23"/>
        <v>-5.703568283793552E-5</v>
      </c>
      <c r="I244" s="21">
        <f t="shared" si="26"/>
        <v>2098.0353723185117</v>
      </c>
      <c r="J244" s="22">
        <f t="shared" si="27"/>
        <v>7.6487566488324701</v>
      </c>
      <c r="O244" s="4"/>
    </row>
    <row r="245" spans="1:15" x14ac:dyDescent="0.2">
      <c r="A245" s="15">
        <v>244</v>
      </c>
      <c r="B245" s="3">
        <v>45090</v>
      </c>
      <c r="C245" s="4">
        <v>5.36</v>
      </c>
      <c r="D245" s="16">
        <f t="shared" si="24"/>
        <v>5.3600000000000002E-2</v>
      </c>
      <c r="E245" s="17">
        <f t="shared" si="25"/>
        <v>-7.4074074074075291E-3</v>
      </c>
      <c r="F245" s="18">
        <f t="shared" si="21"/>
        <v>-4.0000000000000452E-4</v>
      </c>
      <c r="G245" s="19">
        <f t="shared" si="22"/>
        <v>3.9450607980293873E-5</v>
      </c>
      <c r="H245" s="20">
        <f t="shared" si="23"/>
        <v>-4.3945060798029841E-4</v>
      </c>
      <c r="I245" s="21">
        <f t="shared" si="26"/>
        <v>115.45966469959725</v>
      </c>
      <c r="J245" s="22">
        <f t="shared" si="27"/>
        <v>4.7489212455890524</v>
      </c>
      <c r="O245" s="4"/>
    </row>
    <row r="246" spans="1:15" x14ac:dyDescent="0.2">
      <c r="A246" s="15">
        <v>245</v>
      </c>
      <c r="B246" s="3">
        <v>45089</v>
      </c>
      <c r="C246" s="4">
        <v>5.4</v>
      </c>
      <c r="D246" s="16">
        <f t="shared" si="24"/>
        <v>5.4000000000000006E-2</v>
      </c>
      <c r="E246" s="17">
        <f t="shared" si="25"/>
        <v>5.5865921787709993E-3</v>
      </c>
      <c r="F246" s="18">
        <f t="shared" si="21"/>
        <v>3.0000000000000859E-4</v>
      </c>
      <c r="G246" s="19">
        <f t="shared" si="22"/>
        <v>5.2639414123525337E-5</v>
      </c>
      <c r="H246" s="20">
        <f t="shared" si="23"/>
        <v>2.4736058587648325E-4</v>
      </c>
      <c r="I246" s="21">
        <f t="shared" si="26"/>
        <v>866.02493351041596</v>
      </c>
      <c r="J246" s="22">
        <f t="shared" si="27"/>
        <v>6.7639136997304323</v>
      </c>
      <c r="O246" s="4"/>
    </row>
    <row r="247" spans="1:15" x14ac:dyDescent="0.2">
      <c r="A247" s="15">
        <v>246</v>
      </c>
      <c r="B247" s="3">
        <v>45086</v>
      </c>
      <c r="C247" s="4">
        <v>5.37</v>
      </c>
      <c r="D247" s="16">
        <f t="shared" si="24"/>
        <v>5.3699999999999998E-2</v>
      </c>
      <c r="E247" s="17">
        <f t="shared" si="25"/>
        <v>-1.8587360594796154E-3</v>
      </c>
      <c r="F247" s="18">
        <f t="shared" si="21"/>
        <v>-1.0000000000000286E-4</v>
      </c>
      <c r="G247" s="19">
        <f t="shared" si="22"/>
        <v>4.8243145409114849E-5</v>
      </c>
      <c r="H247" s="20">
        <f t="shared" si="23"/>
        <v>-1.4824314540911771E-4</v>
      </c>
      <c r="I247" s="21">
        <f t="shared" si="26"/>
        <v>1576.2380735048448</v>
      </c>
      <c r="J247" s="22">
        <f t="shared" si="27"/>
        <v>7.3627963208776857</v>
      </c>
      <c r="O247" s="4"/>
    </row>
    <row r="248" spans="1:15" x14ac:dyDescent="0.2">
      <c r="A248" s="15">
        <v>247</v>
      </c>
      <c r="B248" s="3">
        <v>45085</v>
      </c>
      <c r="C248" s="4">
        <v>5.38</v>
      </c>
      <c r="D248" s="16">
        <f t="shared" si="24"/>
        <v>5.3800000000000001E-2</v>
      </c>
      <c r="E248" s="17">
        <f t="shared" si="25"/>
        <v>-7.3800738007380184E-3</v>
      </c>
      <c r="F248" s="18">
        <f t="shared" si="21"/>
        <v>-3.9999999999999758E-4</v>
      </c>
      <c r="G248" s="19">
        <f t="shared" si="22"/>
        <v>3.0658070551473508E-5</v>
      </c>
      <c r="H248" s="20">
        <f t="shared" si="23"/>
        <v>-4.3065807055147107E-4</v>
      </c>
      <c r="I248" s="21">
        <f t="shared" si="26"/>
        <v>129.77064532610567</v>
      </c>
      <c r="J248" s="22">
        <f t="shared" si="27"/>
        <v>4.8657686255818522</v>
      </c>
      <c r="O248" s="4"/>
    </row>
    <row r="249" spans="1:15" x14ac:dyDescent="0.2">
      <c r="A249" s="15">
        <v>248</v>
      </c>
      <c r="B249" s="3">
        <v>45084</v>
      </c>
      <c r="C249" s="4">
        <v>5.42</v>
      </c>
      <c r="D249" s="16">
        <f t="shared" si="24"/>
        <v>5.4199999999999998E-2</v>
      </c>
      <c r="E249" s="17">
        <f t="shared" si="25"/>
        <v>-3.6764705882353921E-3</v>
      </c>
      <c r="F249" s="18">
        <f t="shared" si="21"/>
        <v>-2.0000000000000573E-4</v>
      </c>
      <c r="G249" s="19">
        <f t="shared" si="22"/>
        <v>2.1865533122652535E-5</v>
      </c>
      <c r="H249" s="20">
        <f t="shared" si="23"/>
        <v>-2.2186553312265826E-4</v>
      </c>
      <c r="I249" s="21">
        <f t="shared" si="26"/>
        <v>1039.6367547062291</v>
      </c>
      <c r="J249" s="22">
        <f t="shared" si="27"/>
        <v>6.9466266568040025</v>
      </c>
      <c r="O249" s="4"/>
    </row>
    <row r="250" spans="1:15" x14ac:dyDescent="0.2">
      <c r="A250" s="15">
        <v>249</v>
      </c>
      <c r="B250" s="3">
        <v>45083</v>
      </c>
      <c r="C250" s="4">
        <v>5.44</v>
      </c>
      <c r="D250" s="16">
        <f t="shared" si="24"/>
        <v>5.4400000000000004E-2</v>
      </c>
      <c r="E250" s="17">
        <f t="shared" si="25"/>
        <v>-3.66300366300365E-3</v>
      </c>
      <c r="F250" s="18">
        <f t="shared" si="21"/>
        <v>-1.9999999999999879E-4</v>
      </c>
      <c r="G250" s="19">
        <f t="shared" si="22"/>
        <v>1.3072995693831865E-5</v>
      </c>
      <c r="H250" s="20">
        <f t="shared" si="23"/>
        <v>-2.1307299569383066E-4</v>
      </c>
      <c r="I250" s="21">
        <f t="shared" si="26"/>
        <v>1102.1684037972398</v>
      </c>
      <c r="J250" s="22">
        <f t="shared" si="27"/>
        <v>7.0050347945505278</v>
      </c>
      <c r="O250" s="4"/>
    </row>
    <row r="251" spans="1:15" x14ac:dyDescent="0.2">
      <c r="A251" s="15">
        <v>250</v>
      </c>
      <c r="B251" s="3">
        <v>45082</v>
      </c>
      <c r="C251" s="4">
        <v>5.46</v>
      </c>
      <c r="D251" s="16">
        <f t="shared" si="24"/>
        <v>5.4600000000000003E-2</v>
      </c>
      <c r="E251" s="17">
        <f t="shared" si="25"/>
        <v>-7.2727272727272085E-3</v>
      </c>
      <c r="F251" s="18">
        <f t="shared" si="21"/>
        <v>-3.9999999999999758E-4</v>
      </c>
      <c r="G251" s="19">
        <f t="shared" si="22"/>
        <v>-4.5120791638094724E-6</v>
      </c>
      <c r="H251" s="20">
        <f t="shared" si="23"/>
        <v>-3.9548792083618809E-4</v>
      </c>
      <c r="I251" s="21">
        <f t="shared" si="26"/>
        <v>202.25778565369308</v>
      </c>
      <c r="J251" s="22">
        <f t="shared" si="27"/>
        <v>5.3095430503951739</v>
      </c>
      <c r="O251" s="4"/>
    </row>
    <row r="252" spans="1:15" x14ac:dyDescent="0.2">
      <c r="A252" s="15">
        <v>251</v>
      </c>
      <c r="B252" s="3">
        <v>45079</v>
      </c>
      <c r="C252" s="4">
        <v>5.5</v>
      </c>
      <c r="D252" s="16">
        <f t="shared" si="24"/>
        <v>5.5E-2</v>
      </c>
      <c r="E252" s="17">
        <f t="shared" si="25"/>
        <v>0</v>
      </c>
      <c r="F252" s="18">
        <f t="shared" si="21"/>
        <v>0</v>
      </c>
      <c r="G252" s="19">
        <f t="shared" si="22"/>
        <v>-4.5120791638094724E-6</v>
      </c>
      <c r="H252" s="20">
        <f t="shared" si="23"/>
        <v>4.5120791638094724E-6</v>
      </c>
      <c r="I252" s="21">
        <f t="shared" si="26"/>
        <v>2204.2236002919658</v>
      </c>
      <c r="J252" s="22">
        <f t="shared" si="27"/>
        <v>7.6981306171649919</v>
      </c>
      <c r="O252" s="4"/>
    </row>
    <row r="253" spans="1:15" ht="17" thickBot="1" x14ac:dyDescent="0.25">
      <c r="A253" s="34">
        <v>252</v>
      </c>
      <c r="B253" s="35">
        <v>45078</v>
      </c>
      <c r="C253" s="36">
        <v>5.5</v>
      </c>
      <c r="D253" s="37">
        <f t="shared" si="24"/>
        <v>5.5E-2</v>
      </c>
      <c r="E253" s="37"/>
      <c r="F253" s="37"/>
      <c r="G253" s="38"/>
      <c r="H253" s="38"/>
      <c r="I253" s="37"/>
      <c r="J253" s="39"/>
      <c r="O253" s="4"/>
    </row>
    <row r="254" spans="1:15" x14ac:dyDescent="0.2">
      <c r="B254" s="3"/>
      <c r="C254" s="4"/>
      <c r="O254" s="4"/>
    </row>
    <row r="255" spans="1:15" x14ac:dyDescent="0.2">
      <c r="B255" s="3"/>
      <c r="C255" s="4"/>
      <c r="O255" s="4"/>
    </row>
    <row r="256" spans="1:15" x14ac:dyDescent="0.2">
      <c r="B256" s="3"/>
      <c r="C256" s="4"/>
      <c r="O256" s="4"/>
    </row>
    <row r="257" spans="2:15" x14ac:dyDescent="0.2">
      <c r="B257" s="3"/>
      <c r="C257" s="4"/>
      <c r="O257" s="4"/>
    </row>
    <row r="258" spans="2:15" x14ac:dyDescent="0.2">
      <c r="B258" s="3"/>
      <c r="C258" s="4"/>
      <c r="O258" s="4"/>
    </row>
    <row r="259" spans="2:15" x14ac:dyDescent="0.2">
      <c r="B259" s="3"/>
      <c r="C259" s="4"/>
      <c r="O259" s="4"/>
    </row>
    <row r="260" spans="2:15" x14ac:dyDescent="0.2">
      <c r="B260" s="3"/>
      <c r="C260" s="4"/>
      <c r="O260" s="4"/>
    </row>
    <row r="261" spans="2:15" x14ac:dyDescent="0.2">
      <c r="B261" s="3"/>
      <c r="C261" s="4"/>
      <c r="O261" s="4"/>
    </row>
    <row r="262" spans="2:15" x14ac:dyDescent="0.2">
      <c r="B262" s="3"/>
      <c r="C262" s="4"/>
      <c r="O262" s="4"/>
    </row>
    <row r="263" spans="2:15" x14ac:dyDescent="0.2">
      <c r="B263" s="3"/>
      <c r="C263" s="4"/>
      <c r="O263" s="4"/>
    </row>
    <row r="264" spans="2:15" x14ac:dyDescent="0.2">
      <c r="B264" s="3"/>
      <c r="C264" s="4"/>
      <c r="O264" s="4"/>
    </row>
    <row r="265" spans="2:15" x14ac:dyDescent="0.2">
      <c r="B265" s="3"/>
      <c r="C265" s="4"/>
      <c r="O265" s="4"/>
    </row>
    <row r="266" spans="2:15" x14ac:dyDescent="0.2">
      <c r="B266" s="3"/>
      <c r="C266" s="4"/>
      <c r="O266" s="4"/>
    </row>
    <row r="267" spans="2:15" x14ac:dyDescent="0.2">
      <c r="B267" s="3"/>
      <c r="C267" s="4"/>
      <c r="O267" s="4"/>
    </row>
    <row r="268" spans="2:15" x14ac:dyDescent="0.2">
      <c r="B268" s="3"/>
      <c r="C268" s="4"/>
      <c r="O268" s="4"/>
    </row>
    <row r="269" spans="2:15" x14ac:dyDescent="0.2">
      <c r="B269" s="3"/>
      <c r="C269" s="4"/>
      <c r="O269" s="4"/>
    </row>
    <row r="270" spans="2:15" x14ac:dyDescent="0.2">
      <c r="B270" s="3"/>
      <c r="C270" s="4"/>
      <c r="O270" s="4"/>
    </row>
    <row r="271" spans="2:15" x14ac:dyDescent="0.2">
      <c r="B271" s="3"/>
      <c r="C271" s="4"/>
      <c r="O271" s="4"/>
    </row>
    <row r="272" spans="2:15" x14ac:dyDescent="0.2">
      <c r="B272" s="3"/>
      <c r="C272" s="4"/>
      <c r="O272" s="4"/>
    </row>
    <row r="273" spans="2:15" x14ac:dyDescent="0.2">
      <c r="B273" s="3"/>
      <c r="C273" s="4"/>
      <c r="O273" s="4"/>
    </row>
    <row r="274" spans="2:15" x14ac:dyDescent="0.2">
      <c r="B274" s="3"/>
      <c r="C274" s="4"/>
      <c r="O274" s="4"/>
    </row>
    <row r="275" spans="2:15" x14ac:dyDescent="0.2">
      <c r="B275" s="3"/>
      <c r="C275" s="4"/>
      <c r="O275" s="4"/>
    </row>
    <row r="276" spans="2:15" x14ac:dyDescent="0.2">
      <c r="B276" s="3"/>
      <c r="C276" s="4"/>
    </row>
    <row r="277" spans="2:15" x14ac:dyDescent="0.2">
      <c r="B277" s="3"/>
      <c r="C277" s="4"/>
    </row>
    <row r="278" spans="2:15" x14ac:dyDescent="0.2">
      <c r="B278" s="3"/>
      <c r="C278" s="4"/>
    </row>
    <row r="279" spans="2:15" x14ac:dyDescent="0.2">
      <c r="B279" s="3"/>
      <c r="C279" s="4"/>
    </row>
    <row r="280" spans="2:15" x14ac:dyDescent="0.2">
      <c r="B280" s="3"/>
      <c r="C280" s="4"/>
    </row>
    <row r="281" spans="2:15" x14ac:dyDescent="0.2">
      <c r="B281" s="3"/>
      <c r="C281" s="4"/>
    </row>
    <row r="282" spans="2:15" x14ac:dyDescent="0.2">
      <c r="B282" s="3"/>
      <c r="C282" s="4"/>
    </row>
    <row r="283" spans="2:15" x14ac:dyDescent="0.2">
      <c r="B283" s="3"/>
      <c r="C283" s="4"/>
    </row>
    <row r="284" spans="2:15" x14ac:dyDescent="0.2">
      <c r="B284" s="3"/>
      <c r="C284" s="4"/>
    </row>
    <row r="285" spans="2:15" x14ac:dyDescent="0.2">
      <c r="B285" s="3"/>
      <c r="C285" s="4"/>
    </row>
    <row r="286" spans="2:15" x14ac:dyDescent="0.2">
      <c r="B286" s="3"/>
      <c r="C286" s="4"/>
    </row>
    <row r="287" spans="2:15" x14ac:dyDescent="0.2">
      <c r="B287" s="3"/>
      <c r="C287" s="4"/>
    </row>
    <row r="288" spans="2:15" x14ac:dyDescent="0.2">
      <c r="B288" s="3"/>
      <c r="C288" s="4"/>
    </row>
    <row r="289" spans="2:3" x14ac:dyDescent="0.2">
      <c r="B289" s="3"/>
      <c r="C289" s="4"/>
    </row>
    <row r="290" spans="2:3" x14ac:dyDescent="0.2">
      <c r="B290" s="3"/>
      <c r="C290" s="4"/>
    </row>
    <row r="291" spans="2:3" x14ac:dyDescent="0.2">
      <c r="B291" s="3"/>
      <c r="C291" s="4"/>
    </row>
    <row r="292" spans="2:3" x14ac:dyDescent="0.2">
      <c r="B292" s="3"/>
      <c r="C292" s="4"/>
    </row>
    <row r="293" spans="2:3" x14ac:dyDescent="0.2">
      <c r="B293" s="3"/>
      <c r="C293" s="4"/>
    </row>
    <row r="294" spans="2:3" x14ac:dyDescent="0.2">
      <c r="B294" s="3"/>
      <c r="C294" s="4"/>
    </row>
    <row r="295" spans="2:3" x14ac:dyDescent="0.2">
      <c r="B295" s="3"/>
      <c r="C295" s="4"/>
    </row>
    <row r="296" spans="2:3" x14ac:dyDescent="0.2">
      <c r="B296" s="3"/>
      <c r="C296" s="4"/>
    </row>
    <row r="297" spans="2:3" x14ac:dyDescent="0.2">
      <c r="B297" s="3"/>
      <c r="C297" s="4"/>
    </row>
    <row r="298" spans="2:3" x14ac:dyDescent="0.2">
      <c r="B298" s="3"/>
      <c r="C298" s="4"/>
    </row>
    <row r="299" spans="2:3" x14ac:dyDescent="0.2">
      <c r="B299" s="3"/>
      <c r="C299" s="4"/>
    </row>
    <row r="300" spans="2:3" x14ac:dyDescent="0.2">
      <c r="B300" s="3"/>
      <c r="C300" s="4"/>
    </row>
    <row r="301" spans="2:3" x14ac:dyDescent="0.2">
      <c r="B301" s="3"/>
      <c r="C301" s="4"/>
    </row>
    <row r="302" spans="2:3" x14ac:dyDescent="0.2">
      <c r="B302" s="3"/>
      <c r="C302" s="4"/>
    </row>
    <row r="303" spans="2:3" x14ac:dyDescent="0.2">
      <c r="B303" s="3"/>
      <c r="C303" s="4"/>
    </row>
    <row r="304" spans="2:3" x14ac:dyDescent="0.2">
      <c r="B304" s="3"/>
      <c r="C304" s="4"/>
    </row>
    <row r="305" spans="2:3" x14ac:dyDescent="0.2">
      <c r="B305" s="3"/>
      <c r="C305" s="4"/>
    </row>
    <row r="306" spans="2:3" x14ac:dyDescent="0.2">
      <c r="B306" s="3"/>
      <c r="C306" s="4"/>
    </row>
    <row r="307" spans="2:3" x14ac:dyDescent="0.2">
      <c r="B307" s="3"/>
      <c r="C307" s="4"/>
    </row>
    <row r="308" spans="2:3" x14ac:dyDescent="0.2">
      <c r="B308" s="3"/>
      <c r="C308" s="4"/>
    </row>
    <row r="309" spans="2:3" x14ac:dyDescent="0.2">
      <c r="B309" s="3"/>
      <c r="C309" s="4"/>
    </row>
    <row r="310" spans="2:3" x14ac:dyDescent="0.2">
      <c r="B310" s="3"/>
      <c r="C310" s="4"/>
    </row>
    <row r="311" spans="2:3" x14ac:dyDescent="0.2">
      <c r="B311" s="3"/>
      <c r="C311" s="4"/>
    </row>
    <row r="312" spans="2:3" x14ac:dyDescent="0.2">
      <c r="B312" s="3"/>
      <c r="C312" s="4"/>
    </row>
    <row r="313" spans="2:3" x14ac:dyDescent="0.2">
      <c r="B313" s="3"/>
      <c r="C313" s="4"/>
    </row>
    <row r="314" spans="2:3" x14ac:dyDescent="0.2">
      <c r="B314" s="3"/>
      <c r="C314" s="4"/>
    </row>
    <row r="315" spans="2:3" x14ac:dyDescent="0.2">
      <c r="B315" s="3"/>
      <c r="C315" s="4"/>
    </row>
    <row r="316" spans="2:3" x14ac:dyDescent="0.2">
      <c r="B316" s="3"/>
      <c r="C316" s="4"/>
    </row>
    <row r="317" spans="2:3" x14ac:dyDescent="0.2">
      <c r="B317" s="3"/>
      <c r="C317" s="4"/>
    </row>
    <row r="318" spans="2:3" x14ac:dyDescent="0.2">
      <c r="B318" s="3"/>
      <c r="C318" s="4"/>
    </row>
    <row r="319" spans="2:3" x14ac:dyDescent="0.2">
      <c r="B319" s="3"/>
      <c r="C319" s="4"/>
    </row>
    <row r="320" spans="2:3" x14ac:dyDescent="0.2">
      <c r="B320" s="3"/>
      <c r="C320" s="4"/>
    </row>
    <row r="321" spans="2:3" x14ac:dyDescent="0.2">
      <c r="B321" s="3"/>
      <c r="C321" s="4"/>
    </row>
    <row r="322" spans="2:3" x14ac:dyDescent="0.2">
      <c r="B322" s="3"/>
      <c r="C322" s="4"/>
    </row>
    <row r="323" spans="2:3" x14ac:dyDescent="0.2">
      <c r="B323" s="3"/>
      <c r="C323" s="4"/>
    </row>
    <row r="324" spans="2:3" x14ac:dyDescent="0.2">
      <c r="B324" s="3"/>
      <c r="C324" s="4"/>
    </row>
    <row r="325" spans="2:3" x14ac:dyDescent="0.2">
      <c r="B325" s="3"/>
      <c r="C325" s="4"/>
    </row>
    <row r="326" spans="2:3" x14ac:dyDescent="0.2">
      <c r="B326" s="3"/>
      <c r="C326" s="4"/>
    </row>
    <row r="327" spans="2:3" x14ac:dyDescent="0.2">
      <c r="B327" s="3"/>
      <c r="C327" s="4"/>
    </row>
    <row r="328" spans="2:3" x14ac:dyDescent="0.2">
      <c r="B328" s="3"/>
      <c r="C328" s="4"/>
    </row>
    <row r="329" spans="2:3" x14ac:dyDescent="0.2">
      <c r="B329" s="3"/>
      <c r="C329" s="4"/>
    </row>
    <row r="330" spans="2:3" x14ac:dyDescent="0.2">
      <c r="B330" s="3"/>
      <c r="C330" s="4"/>
    </row>
    <row r="331" spans="2:3" x14ac:dyDescent="0.2">
      <c r="B331" s="3"/>
      <c r="C331" s="4"/>
    </row>
    <row r="332" spans="2:3" x14ac:dyDescent="0.2">
      <c r="B332" s="3"/>
      <c r="C332" s="4"/>
    </row>
    <row r="333" spans="2:3" x14ac:dyDescent="0.2">
      <c r="B333" s="3"/>
      <c r="C333" s="4"/>
    </row>
    <row r="334" spans="2:3" x14ac:dyDescent="0.2">
      <c r="B334" s="3"/>
      <c r="C334" s="4"/>
    </row>
    <row r="335" spans="2:3" x14ac:dyDescent="0.2">
      <c r="B335" s="3"/>
      <c r="C335" s="4"/>
    </row>
    <row r="336" spans="2:3" x14ac:dyDescent="0.2">
      <c r="B336" s="3"/>
      <c r="C336" s="4"/>
    </row>
    <row r="337" spans="2:3" x14ac:dyDescent="0.2">
      <c r="B337" s="3"/>
      <c r="C337" s="4"/>
    </row>
    <row r="338" spans="2:3" x14ac:dyDescent="0.2">
      <c r="B338" s="3"/>
      <c r="C338" s="4"/>
    </row>
    <row r="339" spans="2:3" x14ac:dyDescent="0.2">
      <c r="B339" s="3"/>
      <c r="C339" s="4"/>
    </row>
    <row r="340" spans="2:3" x14ac:dyDescent="0.2">
      <c r="B340" s="3"/>
      <c r="C340" s="4"/>
    </row>
    <row r="341" spans="2:3" x14ac:dyDescent="0.2">
      <c r="B341" s="3"/>
      <c r="C341" s="4"/>
    </row>
    <row r="342" spans="2:3" x14ac:dyDescent="0.2">
      <c r="B342" s="3"/>
      <c r="C342" s="4"/>
    </row>
    <row r="343" spans="2:3" x14ac:dyDescent="0.2">
      <c r="B343" s="3"/>
      <c r="C343" s="4"/>
    </row>
    <row r="344" spans="2:3" x14ac:dyDescent="0.2">
      <c r="B344" s="3"/>
      <c r="C344" s="4"/>
    </row>
    <row r="345" spans="2:3" x14ac:dyDescent="0.2">
      <c r="B345" s="3"/>
      <c r="C345" s="4"/>
    </row>
    <row r="346" spans="2:3" x14ac:dyDescent="0.2">
      <c r="B346" s="3"/>
      <c r="C346" s="4"/>
    </row>
    <row r="347" spans="2:3" x14ac:dyDescent="0.2">
      <c r="B347" s="3"/>
      <c r="C347" s="4"/>
    </row>
    <row r="348" spans="2:3" x14ac:dyDescent="0.2">
      <c r="B348" s="3"/>
      <c r="C348" s="4"/>
    </row>
    <row r="349" spans="2:3" x14ac:dyDescent="0.2">
      <c r="B349" s="3"/>
      <c r="C349" s="4"/>
    </row>
    <row r="350" spans="2:3" x14ac:dyDescent="0.2">
      <c r="B350" s="3"/>
      <c r="C350" s="4"/>
    </row>
    <row r="351" spans="2:3" x14ac:dyDescent="0.2">
      <c r="B351" s="3"/>
      <c r="C351" s="4"/>
    </row>
    <row r="352" spans="2:3" x14ac:dyDescent="0.2">
      <c r="B352" s="3"/>
      <c r="C352" s="4"/>
    </row>
    <row r="353" spans="2:3" x14ac:dyDescent="0.2">
      <c r="B353" s="3"/>
      <c r="C353" s="4"/>
    </row>
    <row r="354" spans="2:3" x14ac:dyDescent="0.2">
      <c r="B354" s="3"/>
      <c r="C354" s="4"/>
    </row>
    <row r="355" spans="2:3" x14ac:dyDescent="0.2">
      <c r="B355" s="3"/>
      <c r="C355" s="4"/>
    </row>
    <row r="356" spans="2:3" x14ac:dyDescent="0.2">
      <c r="B356" s="3"/>
      <c r="C356" s="4"/>
    </row>
    <row r="357" spans="2:3" x14ac:dyDescent="0.2">
      <c r="B357" s="3"/>
      <c r="C357" s="4"/>
    </row>
    <row r="358" spans="2:3" x14ac:dyDescent="0.2">
      <c r="B358" s="3"/>
      <c r="C358" s="4"/>
    </row>
    <row r="359" spans="2:3" x14ac:dyDescent="0.2">
      <c r="B359" s="3"/>
      <c r="C359" s="4"/>
    </row>
    <row r="360" spans="2:3" x14ac:dyDescent="0.2">
      <c r="B360" s="3"/>
      <c r="C360" s="4"/>
    </row>
    <row r="361" spans="2:3" x14ac:dyDescent="0.2">
      <c r="B361" s="3"/>
      <c r="C361" s="4"/>
    </row>
    <row r="362" spans="2:3" x14ac:dyDescent="0.2">
      <c r="B362" s="3"/>
      <c r="C362" s="4"/>
    </row>
    <row r="363" spans="2:3" x14ac:dyDescent="0.2">
      <c r="B363" s="3"/>
      <c r="C363" s="4"/>
    </row>
    <row r="364" spans="2:3" x14ac:dyDescent="0.2">
      <c r="B364" s="3"/>
      <c r="C364" s="4"/>
    </row>
    <row r="365" spans="2:3" x14ac:dyDescent="0.2">
      <c r="B365" s="3"/>
      <c r="C365" s="4"/>
    </row>
    <row r="366" spans="2:3" x14ac:dyDescent="0.2">
      <c r="B366" s="3"/>
      <c r="C366" s="4"/>
    </row>
    <row r="367" spans="2:3" x14ac:dyDescent="0.2">
      <c r="B367" s="3"/>
      <c r="C367" s="4"/>
    </row>
    <row r="368" spans="2:3" x14ac:dyDescent="0.2">
      <c r="B368" s="3"/>
      <c r="C368" s="4"/>
    </row>
    <row r="369" spans="2:3" x14ac:dyDescent="0.2">
      <c r="B369" s="3"/>
      <c r="C369" s="4"/>
    </row>
    <row r="370" spans="2:3" x14ac:dyDescent="0.2">
      <c r="B370" s="3"/>
      <c r="C370" s="4"/>
    </row>
    <row r="371" spans="2:3" x14ac:dyDescent="0.2">
      <c r="B371" s="3"/>
      <c r="C371" s="4"/>
    </row>
    <row r="372" spans="2:3" x14ac:dyDescent="0.2">
      <c r="B372" s="3"/>
      <c r="C372" s="4"/>
    </row>
    <row r="373" spans="2:3" x14ac:dyDescent="0.2">
      <c r="B373" s="3"/>
      <c r="C373" s="4"/>
    </row>
    <row r="374" spans="2:3" x14ac:dyDescent="0.2">
      <c r="B374" s="3"/>
      <c r="C374" s="4"/>
    </row>
    <row r="375" spans="2:3" x14ac:dyDescent="0.2">
      <c r="B375" s="3"/>
      <c r="C375" s="4"/>
    </row>
    <row r="376" spans="2:3" x14ac:dyDescent="0.2">
      <c r="B376" s="3"/>
      <c r="C376" s="4"/>
    </row>
    <row r="377" spans="2:3" x14ac:dyDescent="0.2">
      <c r="B377" s="3"/>
      <c r="C377" s="4"/>
    </row>
    <row r="378" spans="2:3" x14ac:dyDescent="0.2">
      <c r="B378" s="3"/>
      <c r="C378" s="4"/>
    </row>
    <row r="379" spans="2:3" x14ac:dyDescent="0.2">
      <c r="B379" s="3"/>
      <c r="C379" s="4"/>
    </row>
    <row r="380" spans="2:3" x14ac:dyDescent="0.2">
      <c r="B380" s="3"/>
      <c r="C380" s="4"/>
    </row>
    <row r="381" spans="2:3" x14ac:dyDescent="0.2">
      <c r="B381" s="3"/>
      <c r="C381" s="4"/>
    </row>
    <row r="382" spans="2:3" x14ac:dyDescent="0.2">
      <c r="B382" s="3"/>
      <c r="C382" s="4"/>
    </row>
    <row r="383" spans="2:3" x14ac:dyDescent="0.2">
      <c r="B383" s="3"/>
      <c r="C383" s="4"/>
    </row>
    <row r="384" spans="2:3" x14ac:dyDescent="0.2">
      <c r="B384" s="3"/>
      <c r="C384" s="4"/>
    </row>
    <row r="385" spans="2:3" x14ac:dyDescent="0.2">
      <c r="B385" s="3"/>
      <c r="C385" s="4"/>
    </row>
    <row r="386" spans="2:3" x14ac:dyDescent="0.2">
      <c r="B386" s="3"/>
      <c r="C386" s="4"/>
    </row>
    <row r="387" spans="2:3" x14ac:dyDescent="0.2">
      <c r="B387" s="3"/>
      <c r="C387" s="4"/>
    </row>
    <row r="388" spans="2:3" x14ac:dyDescent="0.2">
      <c r="B388" s="3"/>
      <c r="C388" s="4"/>
    </row>
    <row r="389" spans="2:3" x14ac:dyDescent="0.2">
      <c r="B389" s="3"/>
      <c r="C389" s="4"/>
    </row>
    <row r="390" spans="2:3" x14ac:dyDescent="0.2">
      <c r="B390" s="3"/>
      <c r="C390" s="4"/>
    </row>
    <row r="391" spans="2:3" x14ac:dyDescent="0.2">
      <c r="B391" s="3"/>
      <c r="C391" s="4"/>
    </row>
    <row r="392" spans="2:3" x14ac:dyDescent="0.2">
      <c r="B392" s="3"/>
      <c r="C392" s="4"/>
    </row>
    <row r="393" spans="2:3" x14ac:dyDescent="0.2">
      <c r="B393" s="3"/>
      <c r="C393" s="4"/>
    </row>
    <row r="394" spans="2:3" x14ac:dyDescent="0.2">
      <c r="B394" s="3"/>
      <c r="C394" s="4"/>
    </row>
    <row r="395" spans="2:3" x14ac:dyDescent="0.2">
      <c r="B395" s="3"/>
      <c r="C395" s="4"/>
    </row>
    <row r="396" spans="2:3" x14ac:dyDescent="0.2">
      <c r="B396" s="3"/>
      <c r="C396" s="4"/>
    </row>
    <row r="397" spans="2:3" x14ac:dyDescent="0.2">
      <c r="B397" s="3"/>
      <c r="C397" s="4"/>
    </row>
    <row r="398" spans="2:3" x14ac:dyDescent="0.2">
      <c r="B398" s="3"/>
      <c r="C398" s="4"/>
    </row>
    <row r="399" spans="2:3" x14ac:dyDescent="0.2">
      <c r="B399" s="3"/>
      <c r="C399" s="4"/>
    </row>
    <row r="400" spans="2:3" x14ac:dyDescent="0.2">
      <c r="B400" s="3"/>
      <c r="C400" s="4"/>
    </row>
    <row r="401" spans="2:3" x14ac:dyDescent="0.2">
      <c r="B401" s="3"/>
      <c r="C401" s="4"/>
    </row>
    <row r="402" spans="2:3" x14ac:dyDescent="0.2">
      <c r="B402" s="3"/>
      <c r="C402" s="4"/>
    </row>
    <row r="403" spans="2:3" x14ac:dyDescent="0.2">
      <c r="B403" s="3"/>
      <c r="C403" s="4"/>
    </row>
    <row r="404" spans="2:3" x14ac:dyDescent="0.2">
      <c r="B404" s="3"/>
      <c r="C404" s="4"/>
    </row>
    <row r="405" spans="2:3" x14ac:dyDescent="0.2">
      <c r="B405" s="3"/>
      <c r="C405" s="4"/>
    </row>
    <row r="406" spans="2:3" x14ac:dyDescent="0.2">
      <c r="B406" s="3"/>
      <c r="C406" s="4"/>
    </row>
    <row r="407" spans="2:3" x14ac:dyDescent="0.2">
      <c r="B407" s="3"/>
      <c r="C407" s="4"/>
    </row>
    <row r="408" spans="2:3" x14ac:dyDescent="0.2">
      <c r="B408" s="3"/>
      <c r="C408" s="4"/>
    </row>
    <row r="409" spans="2:3" x14ac:dyDescent="0.2">
      <c r="B409" s="3"/>
      <c r="C409" s="4"/>
    </row>
    <row r="410" spans="2:3" x14ac:dyDescent="0.2">
      <c r="B410" s="3"/>
      <c r="C410" s="4"/>
    </row>
    <row r="411" spans="2:3" x14ac:dyDescent="0.2">
      <c r="B411" s="3"/>
      <c r="C411" s="4"/>
    </row>
    <row r="412" spans="2:3" x14ac:dyDescent="0.2">
      <c r="B412" s="3"/>
      <c r="C412" s="4"/>
    </row>
    <row r="413" spans="2:3" x14ac:dyDescent="0.2">
      <c r="B413" s="3"/>
      <c r="C413" s="4"/>
    </row>
    <row r="414" spans="2:3" x14ac:dyDescent="0.2">
      <c r="B414" s="3"/>
      <c r="C414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9B71-5C85-9242-9F0B-E1A307ADDB5B}">
  <dimension ref="A1:S255"/>
  <sheetViews>
    <sheetView zoomScale="108" workbookViewId="0">
      <selection activeCell="C10" sqref="C10"/>
    </sheetView>
  </sheetViews>
  <sheetFormatPr baseColWidth="10" defaultRowHeight="16" x14ac:dyDescent="0.2"/>
  <cols>
    <col min="1" max="1" width="22.1640625" bestFit="1" customWidth="1"/>
    <col min="5" max="5" width="12.83203125" bestFit="1" customWidth="1"/>
    <col min="7" max="8" width="12.83203125" bestFit="1" customWidth="1"/>
    <col min="9" max="9" width="12.1640625" bestFit="1" customWidth="1"/>
    <col min="10" max="10" width="12.83203125" bestFit="1" customWidth="1"/>
    <col min="11" max="11" width="12.1640625" bestFit="1" customWidth="1"/>
    <col min="12" max="14" width="12.83203125" bestFit="1" customWidth="1"/>
    <col min="16" max="16" width="20.83203125" bestFit="1" customWidth="1"/>
  </cols>
  <sheetData>
    <row r="1" spans="1:19" x14ac:dyDescent="0.2">
      <c r="A1" t="s">
        <v>29</v>
      </c>
      <c r="B1" s="27">
        <v>11.078597160314111</v>
      </c>
      <c r="D1" s="40" t="s">
        <v>35</v>
      </c>
      <c r="E1" s="40" t="s">
        <v>36</v>
      </c>
      <c r="F1" s="40" t="s">
        <v>37</v>
      </c>
      <c r="G1" s="40" t="s">
        <v>38</v>
      </c>
      <c r="H1" s="40" t="s">
        <v>39</v>
      </c>
      <c r="I1" s="40" t="s">
        <v>40</v>
      </c>
      <c r="J1" s="40" t="s">
        <v>41</v>
      </c>
      <c r="K1" s="40" t="s">
        <v>42</v>
      </c>
      <c r="L1" s="40" t="s">
        <v>43</v>
      </c>
      <c r="M1" s="40" t="s">
        <v>44</v>
      </c>
      <c r="N1" s="40" t="s">
        <v>45</v>
      </c>
    </row>
    <row r="2" spans="1:19" ht="16" customHeight="1" x14ac:dyDescent="0.2">
      <c r="A2" t="s">
        <v>30</v>
      </c>
      <c r="B2" s="27">
        <v>5.4897365710403018E-2</v>
      </c>
      <c r="C2" s="3">
        <v>45446</v>
      </c>
      <c r="D2">
        <v>0</v>
      </c>
      <c r="E2">
        <f>$B$4</f>
        <v>5.5199999999999999E-2</v>
      </c>
      <c r="F2">
        <f>$B$4</f>
        <v>5.5199999999999999E-2</v>
      </c>
      <c r="G2">
        <f t="shared" ref="G2:N2" si="0">$B$4</f>
        <v>5.5199999999999999E-2</v>
      </c>
      <c r="H2">
        <f t="shared" si="0"/>
        <v>5.5199999999999999E-2</v>
      </c>
      <c r="I2">
        <f t="shared" si="0"/>
        <v>5.5199999999999999E-2</v>
      </c>
      <c r="J2">
        <f t="shared" si="0"/>
        <v>5.5199999999999999E-2</v>
      </c>
      <c r="K2">
        <f t="shared" si="0"/>
        <v>5.5199999999999999E-2</v>
      </c>
      <c r="L2">
        <f t="shared" si="0"/>
        <v>5.5199999999999999E-2</v>
      </c>
      <c r="M2">
        <f t="shared" si="0"/>
        <v>5.5199999999999999E-2</v>
      </c>
      <c r="N2">
        <f t="shared" si="0"/>
        <v>5.5199999999999999E-2</v>
      </c>
      <c r="O2" s="43"/>
      <c r="P2" s="46" t="s">
        <v>47</v>
      </c>
      <c r="Q2" s="46"/>
      <c r="R2" s="46"/>
      <c r="S2" s="46"/>
    </row>
    <row r="3" spans="1:19" ht="16" customHeight="1" x14ac:dyDescent="0.2">
      <c r="A3" t="s">
        <v>31</v>
      </c>
      <c r="B3" s="29">
        <v>1.8093366308771135E-4</v>
      </c>
      <c r="C3" s="3"/>
      <c r="D3">
        <v>1</v>
      </c>
      <c r="E3">
        <f ca="1">$B$1*($B$2-E2)*$B$6+$B$3*SQRT(E2)*SQRT($B$6)*_xlfn.NORM.S.INV(RAND())+E2</f>
        <v>5.5184639272832819E-2</v>
      </c>
      <c r="F3">
        <f t="shared" ref="F3:N3" ca="1" si="1">$B$1*($B$2-F2)*$B$6+$B$3*SQRT(F2)*SQRT($B$6)*_xlfn.NORM.S.INV(RAND())+F2</f>
        <v>5.5182537990893753E-2</v>
      </c>
      <c r="G3">
        <f t="shared" ca="1" si="1"/>
        <v>5.5186907824764299E-2</v>
      </c>
      <c r="H3">
        <f t="shared" ca="1" si="1"/>
        <v>5.5181389150502358E-2</v>
      </c>
      <c r="I3">
        <f t="shared" ca="1" si="1"/>
        <v>5.5187755682085657E-2</v>
      </c>
      <c r="J3">
        <f t="shared" ca="1" si="1"/>
        <v>5.5187013161962409E-2</v>
      </c>
      <c r="K3">
        <f t="shared" ca="1" si="1"/>
        <v>5.5186476712747408E-2</v>
      </c>
      <c r="L3">
        <f t="shared" ca="1" si="1"/>
        <v>5.5181080459399651E-2</v>
      </c>
      <c r="M3">
        <f t="shared" ca="1" si="1"/>
        <v>5.5185633625727995E-2</v>
      </c>
      <c r="N3">
        <f t="shared" ca="1" si="1"/>
        <v>5.5188038264358676E-2</v>
      </c>
      <c r="O3" s="43"/>
      <c r="P3" s="46"/>
      <c r="Q3" s="46"/>
      <c r="R3" s="46"/>
      <c r="S3" s="46"/>
    </row>
    <row r="4" spans="1:19" x14ac:dyDescent="0.2">
      <c r="A4" t="s">
        <v>32</v>
      </c>
      <c r="B4">
        <v>5.5199999999999999E-2</v>
      </c>
      <c r="C4" s="45"/>
      <c r="D4">
        <v>2</v>
      </c>
      <c r="E4">
        <f t="shared" ref="E4:N29" ca="1" si="2">$B$1*($B$2-E3)*$B$6+$B$3*SQRT(E3)*SQRT($B$6)*_xlfn.NORM.S.INV(RAND())+E3</f>
        <v>5.5173902360027137E-2</v>
      </c>
      <c r="F4">
        <f t="shared" ca="1" si="2"/>
        <v>5.5169700211966752E-2</v>
      </c>
      <c r="G4">
        <f t="shared" ca="1" si="2"/>
        <v>5.5176272417569991E-2</v>
      </c>
      <c r="H4">
        <f t="shared" ca="1" si="2"/>
        <v>5.5168202386032601E-2</v>
      </c>
      <c r="I4">
        <f t="shared" ca="1" si="2"/>
        <v>5.5174952463218636E-2</v>
      </c>
      <c r="J4">
        <f t="shared" ca="1" si="2"/>
        <v>5.5178676442499359E-2</v>
      </c>
      <c r="K4">
        <f t="shared" ca="1" si="2"/>
        <v>5.5175629038680285E-2</v>
      </c>
      <c r="L4">
        <f t="shared" ca="1" si="2"/>
        <v>5.5167108341483626E-2</v>
      </c>
      <c r="M4">
        <f t="shared" ca="1" si="2"/>
        <v>5.517274732726149E-2</v>
      </c>
      <c r="N4">
        <f t="shared" ca="1" si="2"/>
        <v>5.5175702879673889E-2</v>
      </c>
      <c r="O4" s="43"/>
    </row>
    <row r="5" spans="1:19" x14ac:dyDescent="0.2">
      <c r="A5" t="s">
        <v>33</v>
      </c>
      <c r="B5">
        <v>252</v>
      </c>
      <c r="C5" s="45"/>
      <c r="D5">
        <v>3</v>
      </c>
      <c r="E5">
        <f t="shared" ca="1" si="2"/>
        <v>5.5164798766068987E-2</v>
      </c>
      <c r="F5">
        <f t="shared" ca="1" si="2"/>
        <v>5.5160342125940329E-2</v>
      </c>
      <c r="G5">
        <f t="shared" ca="1" si="2"/>
        <v>5.5165703122768042E-2</v>
      </c>
      <c r="H5">
        <f t="shared" ca="1" si="2"/>
        <v>5.5160810326974861E-2</v>
      </c>
      <c r="I5">
        <f t="shared" ca="1" si="2"/>
        <v>5.5158475015083024E-2</v>
      </c>
      <c r="J5">
        <f t="shared" ca="1" si="2"/>
        <v>5.516692703300121E-2</v>
      </c>
      <c r="K5">
        <f t="shared" ca="1" si="2"/>
        <v>5.5164596453566167E-2</v>
      </c>
      <c r="L5">
        <f t="shared" ca="1" si="2"/>
        <v>5.5152712893891363E-2</v>
      </c>
      <c r="M5">
        <f t="shared" ca="1" si="2"/>
        <v>5.5161801608175562E-2</v>
      </c>
      <c r="N5">
        <f t="shared" ca="1" si="2"/>
        <v>5.5161138754561183E-2</v>
      </c>
      <c r="O5" s="43"/>
    </row>
    <row r="6" spans="1:19" x14ac:dyDescent="0.2">
      <c r="A6" t="s">
        <v>34</v>
      </c>
      <c r="B6">
        <v>3.968253968253968E-3</v>
      </c>
      <c r="C6" s="45"/>
      <c r="D6">
        <v>4</v>
      </c>
      <c r="E6">
        <f t="shared" ca="1" si="2"/>
        <v>5.5156888737740779E-2</v>
      </c>
      <c r="F6">
        <f t="shared" ca="1" si="2"/>
        <v>5.5151571767270424E-2</v>
      </c>
      <c r="G6">
        <f t="shared" ca="1" si="2"/>
        <v>5.5151967658343133E-2</v>
      </c>
      <c r="H6">
        <f t="shared" ca="1" si="2"/>
        <v>5.5146738262847626E-2</v>
      </c>
      <c r="I6">
        <f t="shared" ca="1" si="2"/>
        <v>5.5147300227356796E-2</v>
      </c>
      <c r="J6">
        <f t="shared" ca="1" si="2"/>
        <v>5.5147876201701466E-2</v>
      </c>
      <c r="K6">
        <f t="shared" ca="1" si="2"/>
        <v>5.5155741466130032E-2</v>
      </c>
      <c r="L6">
        <f t="shared" ca="1" si="2"/>
        <v>5.5139379652544805E-2</v>
      </c>
      <c r="M6">
        <f t="shared" ca="1" si="2"/>
        <v>5.5150413742828107E-2</v>
      </c>
      <c r="N6">
        <f t="shared" ca="1" si="2"/>
        <v>5.5150068825629048E-2</v>
      </c>
      <c r="O6" s="43"/>
    </row>
    <row r="7" spans="1:19" x14ac:dyDescent="0.2">
      <c r="C7" s="45"/>
      <c r="D7">
        <v>5</v>
      </c>
      <c r="E7">
        <f t="shared" ca="1" si="2"/>
        <v>5.5147545480456583E-2</v>
      </c>
      <c r="F7">
        <f t="shared" ca="1" si="2"/>
        <v>5.5139562883017294E-2</v>
      </c>
      <c r="G7">
        <f t="shared" ca="1" si="2"/>
        <v>5.5142083661693389E-2</v>
      </c>
      <c r="H7">
        <f t="shared" ca="1" si="2"/>
        <v>5.5132907784204536E-2</v>
      </c>
      <c r="I7">
        <f t="shared" ca="1" si="2"/>
        <v>5.5131479573312013E-2</v>
      </c>
      <c r="J7">
        <f t="shared" ca="1" si="2"/>
        <v>5.5135347372480999E-2</v>
      </c>
      <c r="K7">
        <f t="shared" ca="1" si="2"/>
        <v>5.5143350872950615E-2</v>
      </c>
      <c r="L7">
        <f t="shared" ca="1" si="2"/>
        <v>5.5127479869562401E-2</v>
      </c>
      <c r="M7">
        <f t="shared" ca="1" si="2"/>
        <v>5.5137463661621318E-2</v>
      </c>
      <c r="N7">
        <f t="shared" ca="1" si="2"/>
        <v>5.5140425693951868E-2</v>
      </c>
      <c r="O7" s="43"/>
    </row>
    <row r="8" spans="1:19" x14ac:dyDescent="0.2">
      <c r="C8" s="45"/>
      <c r="D8">
        <v>6</v>
      </c>
      <c r="E8">
        <f t="shared" ca="1" si="2"/>
        <v>5.5133918752766221E-2</v>
      </c>
      <c r="F8">
        <f t="shared" ca="1" si="2"/>
        <v>5.5127830966374483E-2</v>
      </c>
      <c r="G8">
        <f t="shared" ca="1" si="2"/>
        <v>5.5133176972149943E-2</v>
      </c>
      <c r="H8">
        <f t="shared" ca="1" si="2"/>
        <v>5.5123388681916304E-2</v>
      </c>
      <c r="I8">
        <f t="shared" ca="1" si="2"/>
        <v>5.5120070624712296E-2</v>
      </c>
      <c r="J8">
        <f t="shared" ca="1" si="2"/>
        <v>5.5128250258504312E-2</v>
      </c>
      <c r="K8">
        <f t="shared" ca="1" si="2"/>
        <v>5.513430669435606E-2</v>
      </c>
      <c r="L8">
        <f t="shared" ca="1" si="2"/>
        <v>5.5115858052607006E-2</v>
      </c>
      <c r="M8">
        <f t="shared" ca="1" si="2"/>
        <v>5.5126601749091071E-2</v>
      </c>
      <c r="N8">
        <f t="shared" ca="1" si="2"/>
        <v>5.512855960628836E-2</v>
      </c>
      <c r="O8" s="43"/>
    </row>
    <row r="9" spans="1:19" x14ac:dyDescent="0.2">
      <c r="C9" s="45"/>
      <c r="D9">
        <v>7</v>
      </c>
      <c r="E9">
        <f t="shared" ca="1" si="2"/>
        <v>5.5121288385975353E-2</v>
      </c>
      <c r="F9">
        <f t="shared" ca="1" si="2"/>
        <v>5.512041015435943E-2</v>
      </c>
      <c r="G9">
        <f t="shared" ca="1" si="2"/>
        <v>5.5120600292155465E-2</v>
      </c>
      <c r="H9">
        <f t="shared" ca="1" si="2"/>
        <v>5.5111617040206055E-2</v>
      </c>
      <c r="I9">
        <f t="shared" ca="1" si="2"/>
        <v>5.5110575977550709E-2</v>
      </c>
      <c r="J9">
        <f t="shared" ca="1" si="2"/>
        <v>5.5119017648234805E-2</v>
      </c>
      <c r="K9">
        <f t="shared" ca="1" si="2"/>
        <v>5.5124141563235494E-2</v>
      </c>
      <c r="L9">
        <f t="shared" ca="1" si="2"/>
        <v>5.5105889691279331E-2</v>
      </c>
      <c r="M9">
        <f t="shared" ca="1" si="2"/>
        <v>5.511288814132418E-2</v>
      </c>
      <c r="N9">
        <f t="shared" ca="1" si="2"/>
        <v>5.5115997857055642E-2</v>
      </c>
      <c r="O9" s="43"/>
    </row>
    <row r="10" spans="1:19" x14ac:dyDescent="0.2">
      <c r="C10" s="45"/>
      <c r="D10">
        <v>8</v>
      </c>
      <c r="E10">
        <f t="shared" ca="1" si="2"/>
        <v>5.5111075490802318E-2</v>
      </c>
      <c r="F10">
        <f t="shared" ca="1" si="2"/>
        <v>5.5111494434612461E-2</v>
      </c>
      <c r="G10">
        <f t="shared" ca="1" si="2"/>
        <v>5.5116916756688429E-2</v>
      </c>
      <c r="H10">
        <f t="shared" ca="1" si="2"/>
        <v>5.5098150699351485E-2</v>
      </c>
      <c r="I10">
        <f t="shared" ca="1" si="2"/>
        <v>5.5099225216117313E-2</v>
      </c>
      <c r="J10">
        <f t="shared" ca="1" si="2"/>
        <v>5.5107252859478859E-2</v>
      </c>
      <c r="K10">
        <f t="shared" ca="1" si="2"/>
        <v>5.5114839584224237E-2</v>
      </c>
      <c r="L10">
        <f t="shared" ca="1" si="2"/>
        <v>5.5098423950916652E-2</v>
      </c>
      <c r="M10">
        <f t="shared" ca="1" si="2"/>
        <v>5.5101510391051302E-2</v>
      </c>
      <c r="N10">
        <f t="shared" ca="1" si="2"/>
        <v>5.5109466579010391E-2</v>
      </c>
      <c r="O10" s="43"/>
    </row>
    <row r="11" spans="1:19" x14ac:dyDescent="0.2">
      <c r="C11" s="45"/>
      <c r="D11">
        <v>9</v>
      </c>
      <c r="E11">
        <f t="shared" ca="1" si="2"/>
        <v>5.5100667080855897E-2</v>
      </c>
      <c r="F11">
        <f t="shared" ca="1" si="2"/>
        <v>5.5103720482788526E-2</v>
      </c>
      <c r="G11">
        <f t="shared" ca="1" si="2"/>
        <v>5.5105347503688243E-2</v>
      </c>
      <c r="H11">
        <f t="shared" ca="1" si="2"/>
        <v>5.5092328064571032E-2</v>
      </c>
      <c r="I11">
        <f t="shared" ca="1" si="2"/>
        <v>5.5091076661271318E-2</v>
      </c>
      <c r="J11">
        <f t="shared" ca="1" si="2"/>
        <v>5.510086442135026E-2</v>
      </c>
      <c r="K11">
        <f t="shared" ca="1" si="2"/>
        <v>5.510527282713653E-2</v>
      </c>
      <c r="L11">
        <f t="shared" ca="1" si="2"/>
        <v>5.5084907720821454E-2</v>
      </c>
      <c r="M11">
        <f t="shared" ca="1" si="2"/>
        <v>5.5090046086069239E-2</v>
      </c>
      <c r="N11">
        <f t="shared" ca="1" si="2"/>
        <v>5.5103192672783685E-2</v>
      </c>
      <c r="O11" s="43"/>
    </row>
    <row r="12" spans="1:19" x14ac:dyDescent="0.2">
      <c r="C12" s="45"/>
      <c r="D12">
        <v>10</v>
      </c>
      <c r="E12">
        <f t="shared" ca="1" si="2"/>
        <v>5.5090821553860039E-2</v>
      </c>
      <c r="F12">
        <f t="shared" ca="1" si="2"/>
        <v>5.5095096217601322E-2</v>
      </c>
      <c r="G12">
        <f t="shared" ca="1" si="2"/>
        <v>5.5097143172771382E-2</v>
      </c>
      <c r="H12">
        <f t="shared" ca="1" si="2"/>
        <v>5.5081986475402571E-2</v>
      </c>
      <c r="I12">
        <f t="shared" ca="1" si="2"/>
        <v>5.5082057558088628E-2</v>
      </c>
      <c r="J12">
        <f t="shared" ca="1" si="2"/>
        <v>5.5089724375290278E-2</v>
      </c>
      <c r="K12">
        <f t="shared" ca="1" si="2"/>
        <v>5.5099389133695692E-2</v>
      </c>
      <c r="L12">
        <f t="shared" ca="1" si="2"/>
        <v>5.5076066065354271E-2</v>
      </c>
      <c r="M12">
        <f t="shared" ca="1" si="2"/>
        <v>5.5079272191839744E-2</v>
      </c>
      <c r="N12">
        <f t="shared" ca="1" si="2"/>
        <v>5.5102653427619885E-2</v>
      </c>
      <c r="O12" s="43"/>
    </row>
    <row r="13" spans="1:19" x14ac:dyDescent="0.2">
      <c r="C13" s="45"/>
      <c r="D13">
        <v>11</v>
      </c>
      <c r="E13">
        <f t="shared" ca="1" si="2"/>
        <v>5.5080932423939501E-2</v>
      </c>
      <c r="F13">
        <f t="shared" ca="1" si="2"/>
        <v>5.5084590964707143E-2</v>
      </c>
      <c r="G13">
        <f t="shared" ca="1" si="2"/>
        <v>5.5084618060405141E-2</v>
      </c>
      <c r="H13">
        <f t="shared" ca="1" si="2"/>
        <v>5.5069773493004334E-2</v>
      </c>
      <c r="I13">
        <f t="shared" ca="1" si="2"/>
        <v>5.507404048974561E-2</v>
      </c>
      <c r="J13">
        <f t="shared" ca="1" si="2"/>
        <v>5.5083142643060461E-2</v>
      </c>
      <c r="K13">
        <f t="shared" ca="1" si="2"/>
        <v>5.5088515649441158E-2</v>
      </c>
      <c r="L13">
        <f t="shared" ca="1" si="2"/>
        <v>5.5073594396407771E-2</v>
      </c>
      <c r="M13">
        <f t="shared" ca="1" si="2"/>
        <v>5.5075811534211684E-2</v>
      </c>
      <c r="N13">
        <f t="shared" ca="1" si="2"/>
        <v>5.509625004770502E-2</v>
      </c>
      <c r="O13" s="43"/>
    </row>
    <row r="14" spans="1:19" x14ac:dyDescent="0.2">
      <c r="C14" s="45"/>
      <c r="D14">
        <v>12</v>
      </c>
      <c r="E14">
        <f t="shared" ca="1" si="2"/>
        <v>5.5069009168210725E-2</v>
      </c>
      <c r="F14">
        <f t="shared" ca="1" si="2"/>
        <v>5.5078405293897931E-2</v>
      </c>
      <c r="G14">
        <f t="shared" ca="1" si="2"/>
        <v>5.5083513792365126E-2</v>
      </c>
      <c r="H14">
        <f t="shared" ca="1" si="2"/>
        <v>5.5061782352685544E-2</v>
      </c>
      <c r="I14">
        <f t="shared" ca="1" si="2"/>
        <v>5.5062791056252211E-2</v>
      </c>
      <c r="J14">
        <f t="shared" ca="1" si="2"/>
        <v>5.5072980461158924E-2</v>
      </c>
      <c r="K14">
        <f t="shared" ca="1" si="2"/>
        <v>5.507648528524399E-2</v>
      </c>
      <c r="L14">
        <f t="shared" ca="1" si="2"/>
        <v>5.5068477197978721E-2</v>
      </c>
      <c r="M14">
        <f t="shared" ca="1" si="2"/>
        <v>5.5070312246418181E-2</v>
      </c>
      <c r="N14">
        <f t="shared" ca="1" si="2"/>
        <v>5.5082307029939999E-2</v>
      </c>
      <c r="O14" s="43"/>
    </row>
    <row r="15" spans="1:19" x14ac:dyDescent="0.2">
      <c r="C15" s="45"/>
      <c r="D15">
        <v>13</v>
      </c>
      <c r="E15">
        <f t="shared" ca="1" si="2"/>
        <v>5.5062665482677353E-2</v>
      </c>
      <c r="F15">
        <f t="shared" ca="1" si="2"/>
        <v>5.5072482076672744E-2</v>
      </c>
      <c r="G15">
        <f t="shared" ca="1" si="2"/>
        <v>5.5075135607749355E-2</v>
      </c>
      <c r="H15">
        <f t="shared" ca="1" si="2"/>
        <v>5.5054346545038754E-2</v>
      </c>
      <c r="I15">
        <f t="shared" ca="1" si="2"/>
        <v>5.5058326969667441E-2</v>
      </c>
      <c r="J15">
        <f t="shared" ca="1" si="2"/>
        <v>5.5065385821992482E-2</v>
      </c>
      <c r="K15">
        <f t="shared" ca="1" si="2"/>
        <v>5.5066774009613649E-2</v>
      </c>
      <c r="L15">
        <f t="shared" ca="1" si="2"/>
        <v>5.506057892849444E-2</v>
      </c>
      <c r="M15">
        <f t="shared" ca="1" si="2"/>
        <v>5.5062030924352398E-2</v>
      </c>
      <c r="N15">
        <f t="shared" ca="1" si="2"/>
        <v>5.5077882546236509E-2</v>
      </c>
      <c r="O15" s="43"/>
    </row>
    <row r="16" spans="1:19" x14ac:dyDescent="0.2">
      <c r="C16" s="45"/>
      <c r="D16">
        <v>14</v>
      </c>
      <c r="E16">
        <f t="shared" ca="1" si="2"/>
        <v>5.5060248943597172E-2</v>
      </c>
      <c r="F16">
        <f t="shared" ca="1" si="2"/>
        <v>5.5063239977673734E-2</v>
      </c>
      <c r="G16">
        <f t="shared" ca="1" si="2"/>
        <v>5.5066962850741932E-2</v>
      </c>
      <c r="H16">
        <f t="shared" ca="1" si="2"/>
        <v>5.5048876052824242E-2</v>
      </c>
      <c r="I16">
        <f t="shared" ca="1" si="2"/>
        <v>5.5048925918281956E-2</v>
      </c>
      <c r="J16">
        <f t="shared" ca="1" si="2"/>
        <v>5.5053319138248631E-2</v>
      </c>
      <c r="K16">
        <f t="shared" ca="1" si="2"/>
        <v>5.5055031131158061E-2</v>
      </c>
      <c r="L16">
        <f t="shared" ca="1" si="2"/>
        <v>5.5054971669395276E-2</v>
      </c>
      <c r="M16">
        <f t="shared" ca="1" si="2"/>
        <v>5.5053881251644038E-2</v>
      </c>
      <c r="N16">
        <f t="shared" ca="1" si="2"/>
        <v>5.5066823243018585E-2</v>
      </c>
      <c r="O16" s="43"/>
    </row>
    <row r="17" spans="3:15" x14ac:dyDescent="0.2">
      <c r="C17" s="45"/>
      <c r="D17">
        <v>15</v>
      </c>
      <c r="E17">
        <f t="shared" ca="1" si="2"/>
        <v>5.5047636948444341E-2</v>
      </c>
      <c r="F17">
        <f t="shared" ca="1" si="2"/>
        <v>5.5057177084754841E-2</v>
      </c>
      <c r="G17">
        <f t="shared" ca="1" si="2"/>
        <v>5.506074943743481E-2</v>
      </c>
      <c r="H17">
        <f t="shared" ca="1" si="2"/>
        <v>5.5046204335829206E-2</v>
      </c>
      <c r="I17">
        <f t="shared" ca="1" si="2"/>
        <v>5.5044696078867993E-2</v>
      </c>
      <c r="J17">
        <f t="shared" ca="1" si="2"/>
        <v>5.5051688708041085E-2</v>
      </c>
      <c r="K17">
        <f t="shared" ca="1" si="2"/>
        <v>5.5046961076644273E-2</v>
      </c>
      <c r="L17">
        <f t="shared" ca="1" si="2"/>
        <v>5.5044686580962406E-2</v>
      </c>
      <c r="M17">
        <f t="shared" ca="1" si="2"/>
        <v>5.5042689427595368E-2</v>
      </c>
      <c r="N17">
        <f t="shared" ca="1" si="2"/>
        <v>5.505660651805739E-2</v>
      </c>
      <c r="O17" s="43"/>
    </row>
    <row r="18" spans="3:15" x14ac:dyDescent="0.2">
      <c r="C18" s="45"/>
      <c r="D18">
        <v>16</v>
      </c>
      <c r="E18">
        <f t="shared" ca="1" si="2"/>
        <v>5.5040469545103707E-2</v>
      </c>
      <c r="F18">
        <f t="shared" ca="1" si="2"/>
        <v>5.5050990801215088E-2</v>
      </c>
      <c r="G18">
        <f t="shared" ca="1" si="2"/>
        <v>5.5049156281386236E-2</v>
      </c>
      <c r="H18">
        <f t="shared" ca="1" si="2"/>
        <v>5.5038780520253738E-2</v>
      </c>
      <c r="I18">
        <f t="shared" ca="1" si="2"/>
        <v>5.5038050623320268E-2</v>
      </c>
      <c r="J18">
        <f t="shared" ca="1" si="2"/>
        <v>5.5045837046427883E-2</v>
      </c>
      <c r="K18">
        <f t="shared" ca="1" si="2"/>
        <v>5.5040102752558044E-2</v>
      </c>
      <c r="L18">
        <f t="shared" ca="1" si="2"/>
        <v>5.503585969858691E-2</v>
      </c>
      <c r="M18">
        <f t="shared" ca="1" si="2"/>
        <v>5.5035486335406933E-2</v>
      </c>
      <c r="N18">
        <f t="shared" ca="1" si="2"/>
        <v>5.5049563332496797E-2</v>
      </c>
      <c r="O18" s="43"/>
    </row>
    <row r="19" spans="3:15" x14ac:dyDescent="0.2">
      <c r="C19" s="45"/>
      <c r="D19">
        <v>17</v>
      </c>
      <c r="E19">
        <f t="shared" ca="1" si="2"/>
        <v>5.503663116763545E-2</v>
      </c>
      <c r="F19">
        <f t="shared" ca="1" si="2"/>
        <v>5.5042662296877341E-2</v>
      </c>
      <c r="G19">
        <f t="shared" ca="1" si="2"/>
        <v>5.5043222530169536E-2</v>
      </c>
      <c r="H19">
        <f t="shared" ca="1" si="2"/>
        <v>5.5034682724678693E-2</v>
      </c>
      <c r="I19">
        <f t="shared" ca="1" si="2"/>
        <v>5.5025964793640386E-2</v>
      </c>
      <c r="J19">
        <f t="shared" ca="1" si="2"/>
        <v>5.5036322890282596E-2</v>
      </c>
      <c r="K19">
        <f t="shared" ca="1" si="2"/>
        <v>5.5036790851699088E-2</v>
      </c>
      <c r="L19">
        <f t="shared" ca="1" si="2"/>
        <v>5.5030253900885631E-2</v>
      </c>
      <c r="M19">
        <f t="shared" ca="1" si="2"/>
        <v>5.5033462585560959E-2</v>
      </c>
      <c r="N19">
        <f t="shared" ca="1" si="2"/>
        <v>5.5044678505250064E-2</v>
      </c>
      <c r="O19" s="43"/>
    </row>
    <row r="20" spans="3:15" x14ac:dyDescent="0.2">
      <c r="C20" s="45"/>
      <c r="D20">
        <v>18</v>
      </c>
      <c r="E20">
        <f t="shared" ca="1" si="2"/>
        <v>5.503097052024649E-2</v>
      </c>
      <c r="F20">
        <f t="shared" ca="1" si="2"/>
        <v>5.5037225214848454E-2</v>
      </c>
      <c r="G20">
        <f t="shared" ca="1" si="2"/>
        <v>5.5034748651736964E-2</v>
      </c>
      <c r="H20">
        <f t="shared" ca="1" si="2"/>
        <v>5.5025033216599212E-2</v>
      </c>
      <c r="I20">
        <f t="shared" ca="1" si="2"/>
        <v>5.5017425219538015E-2</v>
      </c>
      <c r="J20">
        <f t="shared" ca="1" si="2"/>
        <v>5.5029632135905802E-2</v>
      </c>
      <c r="K20">
        <f t="shared" ca="1" si="2"/>
        <v>5.5025389336142351E-2</v>
      </c>
      <c r="L20">
        <f t="shared" ca="1" si="2"/>
        <v>5.5024678637199585E-2</v>
      </c>
      <c r="M20">
        <f t="shared" ca="1" si="2"/>
        <v>5.5027333414051957E-2</v>
      </c>
      <c r="N20">
        <f t="shared" ca="1" si="2"/>
        <v>5.5038768578151508E-2</v>
      </c>
      <c r="O20" s="43"/>
    </row>
    <row r="21" spans="3:15" x14ac:dyDescent="0.2">
      <c r="C21" s="45"/>
      <c r="D21">
        <v>19</v>
      </c>
      <c r="E21">
        <f t="shared" ca="1" si="2"/>
        <v>5.5024954767581243E-2</v>
      </c>
      <c r="F21">
        <f t="shared" ca="1" si="2"/>
        <v>5.5032987063318647E-2</v>
      </c>
      <c r="G21">
        <f t="shared" ca="1" si="2"/>
        <v>5.502944060693167E-2</v>
      </c>
      <c r="H21">
        <f t="shared" ca="1" si="2"/>
        <v>5.5019776019127366E-2</v>
      </c>
      <c r="I21">
        <f t="shared" ca="1" si="2"/>
        <v>5.5012637249985195E-2</v>
      </c>
      <c r="J21">
        <f t="shared" ca="1" si="2"/>
        <v>5.5021721138858962E-2</v>
      </c>
      <c r="K21">
        <f t="shared" ca="1" si="2"/>
        <v>5.501709009106117E-2</v>
      </c>
      <c r="L21">
        <f t="shared" ca="1" si="2"/>
        <v>5.5019753918012511E-2</v>
      </c>
      <c r="M21">
        <f t="shared" ca="1" si="2"/>
        <v>5.5023300277364323E-2</v>
      </c>
      <c r="N21">
        <f t="shared" ca="1" si="2"/>
        <v>5.5031736493758351E-2</v>
      </c>
      <c r="O21" s="43"/>
    </row>
    <row r="22" spans="3:15" x14ac:dyDescent="0.2">
      <c r="C22" s="3"/>
      <c r="D22">
        <v>20</v>
      </c>
      <c r="E22">
        <f t="shared" ca="1" si="2"/>
        <v>5.5015358258548079E-2</v>
      </c>
      <c r="F22">
        <f t="shared" ca="1" si="2"/>
        <v>5.5026925887867013E-2</v>
      </c>
      <c r="G22">
        <f t="shared" ca="1" si="2"/>
        <v>5.5023880941484034E-2</v>
      </c>
      <c r="H22">
        <f t="shared" ca="1" si="2"/>
        <v>5.5011481166056052E-2</v>
      </c>
      <c r="I22">
        <f t="shared" ca="1" si="2"/>
        <v>5.5006810267102101E-2</v>
      </c>
      <c r="J22">
        <f t="shared" ca="1" si="2"/>
        <v>5.5013591648984145E-2</v>
      </c>
      <c r="K22">
        <f t="shared" ca="1" si="2"/>
        <v>5.5010097837424971E-2</v>
      </c>
      <c r="L22">
        <f t="shared" ca="1" si="2"/>
        <v>5.5013371174135149E-2</v>
      </c>
      <c r="M22">
        <f t="shared" ca="1" si="2"/>
        <v>5.5017154678003041E-2</v>
      </c>
      <c r="N22">
        <f t="shared" ca="1" si="2"/>
        <v>5.5026042808944825E-2</v>
      </c>
      <c r="O22" s="43"/>
    </row>
    <row r="23" spans="3:15" x14ac:dyDescent="0.2">
      <c r="C23" s="3"/>
      <c r="D23">
        <v>21</v>
      </c>
      <c r="E23">
        <f t="shared" ca="1" si="2"/>
        <v>5.501024203847165E-2</v>
      </c>
      <c r="F23">
        <f t="shared" ca="1" si="2"/>
        <v>5.5023838816089056E-2</v>
      </c>
      <c r="G23">
        <f t="shared" ca="1" si="2"/>
        <v>5.5021805755470124E-2</v>
      </c>
      <c r="H23">
        <f t="shared" ca="1" si="2"/>
        <v>5.5006517383043199E-2</v>
      </c>
      <c r="I23">
        <f t="shared" ca="1" si="2"/>
        <v>5.5004691502614847E-2</v>
      </c>
      <c r="J23">
        <f t="shared" ca="1" si="2"/>
        <v>5.5006774208846469E-2</v>
      </c>
      <c r="K23">
        <f t="shared" ca="1" si="2"/>
        <v>5.5002546546259419E-2</v>
      </c>
      <c r="L23">
        <f t="shared" ca="1" si="2"/>
        <v>5.5007326110362818E-2</v>
      </c>
      <c r="M23">
        <f t="shared" ca="1" si="2"/>
        <v>5.5012225098902801E-2</v>
      </c>
      <c r="N23">
        <f t="shared" ca="1" si="2"/>
        <v>5.50241037890584E-2</v>
      </c>
      <c r="O23" s="43"/>
    </row>
    <row r="24" spans="3:15" x14ac:dyDescent="0.2">
      <c r="C24" s="3"/>
      <c r="D24">
        <v>22</v>
      </c>
      <c r="E24">
        <f t="shared" ca="1" si="2"/>
        <v>5.4999697967760754E-2</v>
      </c>
      <c r="F24">
        <f t="shared" ca="1" si="2"/>
        <v>5.5018674473975446E-2</v>
      </c>
      <c r="G24">
        <f t="shared" ca="1" si="2"/>
        <v>5.5018221066967292E-2</v>
      </c>
      <c r="H24">
        <f t="shared" ca="1" si="2"/>
        <v>5.5000748568911365E-2</v>
      </c>
      <c r="I24">
        <f t="shared" ca="1" si="2"/>
        <v>5.4997090755602704E-2</v>
      </c>
      <c r="J24">
        <f t="shared" ca="1" si="2"/>
        <v>5.5003790569273889E-2</v>
      </c>
      <c r="K24">
        <f t="shared" ca="1" si="2"/>
        <v>5.5000968333631786E-2</v>
      </c>
      <c r="L24">
        <f t="shared" ca="1" si="2"/>
        <v>5.5006687810675657E-2</v>
      </c>
      <c r="M24">
        <f t="shared" ca="1" si="2"/>
        <v>5.5006484162595327E-2</v>
      </c>
      <c r="N24">
        <f t="shared" ca="1" si="2"/>
        <v>5.5015527820894819E-2</v>
      </c>
      <c r="O24" s="43"/>
    </row>
    <row r="25" spans="3:15" x14ac:dyDescent="0.2">
      <c r="C25" s="3"/>
      <c r="D25">
        <v>23</v>
      </c>
      <c r="E25">
        <f t="shared" ca="1" si="2"/>
        <v>5.4998396779682081E-2</v>
      </c>
      <c r="F25">
        <f t="shared" ca="1" si="2"/>
        <v>5.5016249688784331E-2</v>
      </c>
      <c r="G25">
        <f t="shared" ca="1" si="2"/>
        <v>5.5010412284609719E-2</v>
      </c>
      <c r="H25">
        <f t="shared" ca="1" si="2"/>
        <v>5.4994151336519255E-2</v>
      </c>
      <c r="I25">
        <f t="shared" ca="1" si="2"/>
        <v>5.4992319207098232E-2</v>
      </c>
      <c r="J25">
        <f t="shared" ca="1" si="2"/>
        <v>5.4997794643537656E-2</v>
      </c>
      <c r="K25">
        <f t="shared" ca="1" si="2"/>
        <v>5.4993265316294455E-2</v>
      </c>
      <c r="L25">
        <f t="shared" ca="1" si="2"/>
        <v>5.50034338312516E-2</v>
      </c>
      <c r="M25">
        <f t="shared" ca="1" si="2"/>
        <v>5.5002192742462618E-2</v>
      </c>
      <c r="N25">
        <f t="shared" ca="1" si="2"/>
        <v>5.5011973474312227E-2</v>
      </c>
      <c r="O25" s="43"/>
    </row>
    <row r="26" spans="3:15" x14ac:dyDescent="0.2">
      <c r="C26" s="3"/>
      <c r="D26">
        <v>24</v>
      </c>
      <c r="E26">
        <f t="shared" ca="1" si="2"/>
        <v>5.4990460519412379E-2</v>
      </c>
      <c r="F26">
        <f t="shared" ca="1" si="2"/>
        <v>5.5015747267682165E-2</v>
      </c>
      <c r="G26">
        <f t="shared" ca="1" si="2"/>
        <v>5.5004106882952673E-2</v>
      </c>
      <c r="H26">
        <f t="shared" ca="1" si="2"/>
        <v>5.4989110327758564E-2</v>
      </c>
      <c r="I26">
        <f t="shared" ca="1" si="2"/>
        <v>5.498803769241184E-2</v>
      </c>
      <c r="J26">
        <f t="shared" ca="1" si="2"/>
        <v>5.4991850362092781E-2</v>
      </c>
      <c r="K26">
        <f t="shared" ca="1" si="2"/>
        <v>5.4989962064690874E-2</v>
      </c>
      <c r="L26">
        <f t="shared" ca="1" si="2"/>
        <v>5.5003259765545993E-2</v>
      </c>
      <c r="M26">
        <f t="shared" ca="1" si="2"/>
        <v>5.4998884181985126E-2</v>
      </c>
      <c r="N26">
        <f t="shared" ca="1" si="2"/>
        <v>5.5001619817060809E-2</v>
      </c>
      <c r="O26" s="43"/>
    </row>
    <row r="27" spans="3:15" x14ac:dyDescent="0.2">
      <c r="C27" s="3"/>
      <c r="D27">
        <v>25</v>
      </c>
      <c r="E27">
        <f t="shared" ca="1" si="2"/>
        <v>5.4985856111350463E-2</v>
      </c>
      <c r="F27">
        <f t="shared" ca="1" si="2"/>
        <v>5.5010959950849647E-2</v>
      </c>
      <c r="G27">
        <f t="shared" ca="1" si="2"/>
        <v>5.5002299295015114E-2</v>
      </c>
      <c r="H27">
        <f t="shared" ca="1" si="2"/>
        <v>5.4985251983401796E-2</v>
      </c>
      <c r="I27">
        <f t="shared" ca="1" si="2"/>
        <v>5.4983792541396299E-2</v>
      </c>
      <c r="J27">
        <f t="shared" ca="1" si="2"/>
        <v>5.4987548324240069E-2</v>
      </c>
      <c r="K27">
        <f t="shared" ca="1" si="2"/>
        <v>5.4986023028295326E-2</v>
      </c>
      <c r="L27">
        <f t="shared" ca="1" si="2"/>
        <v>5.4997493781796462E-2</v>
      </c>
      <c r="M27">
        <f t="shared" ca="1" si="2"/>
        <v>5.4996680417118769E-2</v>
      </c>
      <c r="N27">
        <f t="shared" ca="1" si="2"/>
        <v>5.5000888049762345E-2</v>
      </c>
      <c r="O27" s="43"/>
    </row>
    <row r="28" spans="3:15" x14ac:dyDescent="0.2">
      <c r="C28" s="3"/>
      <c r="D28">
        <v>26</v>
      </c>
      <c r="E28">
        <f t="shared" ca="1" si="2"/>
        <v>5.497958509443078E-2</v>
      </c>
      <c r="F28">
        <f t="shared" ca="1" si="2"/>
        <v>5.5005863516063035E-2</v>
      </c>
      <c r="G28">
        <f t="shared" ca="1" si="2"/>
        <v>5.4988456703443878E-2</v>
      </c>
      <c r="H28">
        <f t="shared" ca="1" si="2"/>
        <v>5.4982767118334414E-2</v>
      </c>
      <c r="I28">
        <f t="shared" ca="1" si="2"/>
        <v>5.4979240561868398E-2</v>
      </c>
      <c r="J28">
        <f t="shared" ca="1" si="2"/>
        <v>5.4980733873016614E-2</v>
      </c>
      <c r="K28">
        <f t="shared" ca="1" si="2"/>
        <v>5.49858647774197E-2</v>
      </c>
      <c r="L28">
        <f t="shared" ca="1" si="2"/>
        <v>5.499370208296904E-2</v>
      </c>
      <c r="M28">
        <f t="shared" ca="1" si="2"/>
        <v>5.4988841297933307E-2</v>
      </c>
      <c r="N28">
        <f t="shared" ca="1" si="2"/>
        <v>5.5000020611089911E-2</v>
      </c>
      <c r="O28" s="43"/>
    </row>
    <row r="29" spans="3:15" x14ac:dyDescent="0.2">
      <c r="C29" s="3"/>
      <c r="D29">
        <v>27</v>
      </c>
      <c r="E29">
        <f t="shared" ca="1" si="2"/>
        <v>5.4978023313979545E-2</v>
      </c>
      <c r="F29">
        <f t="shared" ca="1" si="2"/>
        <v>5.5003642799799864E-2</v>
      </c>
      <c r="G29">
        <f t="shared" ca="1" si="2"/>
        <v>5.4985855963748102E-2</v>
      </c>
      <c r="H29">
        <f t="shared" ca="1" si="2"/>
        <v>5.4978604315011226E-2</v>
      </c>
      <c r="I29">
        <f t="shared" ca="1" si="2"/>
        <v>5.4978731750403867E-2</v>
      </c>
      <c r="J29">
        <f t="shared" ref="J29:N79" ca="1" si="3">$B$1*($B$2-J28)*$B$6+$B$3*SQRT(J28)*SQRT($B$6)*_xlfn.NORM.S.INV(RAND())+J28</f>
        <v>5.4973429496842384E-2</v>
      </c>
      <c r="K29">
        <f t="shared" ca="1" si="3"/>
        <v>5.4983013481647573E-2</v>
      </c>
      <c r="L29">
        <f t="shared" ca="1" si="3"/>
        <v>5.4989511183300428E-2</v>
      </c>
      <c r="M29">
        <f t="shared" ca="1" si="3"/>
        <v>5.4985086772020901E-2</v>
      </c>
      <c r="N29">
        <f t="shared" ca="1" si="3"/>
        <v>5.4994369003520407E-2</v>
      </c>
      <c r="O29" s="43"/>
    </row>
    <row r="30" spans="3:15" x14ac:dyDescent="0.2">
      <c r="C30" s="3"/>
      <c r="D30">
        <v>28</v>
      </c>
      <c r="E30">
        <f t="shared" ref="E30:I80" ca="1" si="4">$B$1*($B$2-E29)*$B$6+$B$3*SQRT(E29)*SQRT($B$6)*_xlfn.NORM.S.INV(RAND())+E29</f>
        <v>5.4978038935008945E-2</v>
      </c>
      <c r="F30">
        <f t="shared" ca="1" si="4"/>
        <v>5.4997418148292336E-2</v>
      </c>
      <c r="G30">
        <f t="shared" ca="1" si="4"/>
        <v>5.4982745085099011E-2</v>
      </c>
      <c r="H30">
        <f t="shared" ca="1" si="4"/>
        <v>5.4977026003067669E-2</v>
      </c>
      <c r="I30">
        <f t="shared" ca="1" si="4"/>
        <v>5.4976359101443162E-2</v>
      </c>
      <c r="J30">
        <f t="shared" ca="1" si="3"/>
        <v>5.4969047225521761E-2</v>
      </c>
      <c r="K30">
        <f t="shared" ca="1" si="3"/>
        <v>5.4979076956960853E-2</v>
      </c>
      <c r="L30">
        <f t="shared" ca="1" si="3"/>
        <v>5.4985609305104113E-2</v>
      </c>
      <c r="M30">
        <f t="shared" ca="1" si="3"/>
        <v>5.4983674169557052E-2</v>
      </c>
      <c r="N30">
        <f t="shared" ca="1" si="3"/>
        <v>5.4987885869849019E-2</v>
      </c>
      <c r="O30" s="43"/>
    </row>
    <row r="31" spans="3:15" x14ac:dyDescent="0.2">
      <c r="C31" s="3"/>
      <c r="D31">
        <v>29</v>
      </c>
      <c r="E31">
        <f t="shared" ca="1" si="4"/>
        <v>5.4975232784447707E-2</v>
      </c>
      <c r="F31">
        <f t="shared" ca="1" si="4"/>
        <v>5.49916760611786E-2</v>
      </c>
      <c r="G31">
        <f t="shared" ca="1" si="4"/>
        <v>5.4980523545458543E-2</v>
      </c>
      <c r="H31">
        <f t="shared" ca="1" si="4"/>
        <v>5.4976046774800898E-2</v>
      </c>
      <c r="I31">
        <f t="shared" ca="1" si="4"/>
        <v>5.497386889637923E-2</v>
      </c>
      <c r="J31">
        <f t="shared" ca="1" si="3"/>
        <v>5.4962086462076405E-2</v>
      </c>
      <c r="K31">
        <f t="shared" ca="1" si="3"/>
        <v>5.4973831906526202E-2</v>
      </c>
      <c r="L31">
        <f t="shared" ca="1" si="3"/>
        <v>5.498228255787637E-2</v>
      </c>
      <c r="M31">
        <f t="shared" ca="1" si="3"/>
        <v>5.4979578895413939E-2</v>
      </c>
      <c r="N31">
        <f t="shared" ca="1" si="3"/>
        <v>5.4989581235769892E-2</v>
      </c>
      <c r="O31" s="43"/>
    </row>
    <row r="32" spans="3:15" x14ac:dyDescent="0.2">
      <c r="C32" s="3"/>
      <c r="D32">
        <v>30</v>
      </c>
      <c r="E32">
        <f t="shared" ca="1" si="4"/>
        <v>5.4968992727583703E-2</v>
      </c>
      <c r="F32">
        <f t="shared" ca="1" si="4"/>
        <v>5.4983416842142634E-2</v>
      </c>
      <c r="G32">
        <f t="shared" ca="1" si="4"/>
        <v>5.4978509073841345E-2</v>
      </c>
      <c r="H32">
        <f t="shared" ca="1" si="4"/>
        <v>5.4971887887412529E-2</v>
      </c>
      <c r="I32">
        <f t="shared" ca="1" si="4"/>
        <v>5.4974526280612897E-2</v>
      </c>
      <c r="J32">
        <f t="shared" ca="1" si="3"/>
        <v>5.4957257848786134E-2</v>
      </c>
      <c r="K32">
        <f t="shared" ca="1" si="3"/>
        <v>5.4970975500038599E-2</v>
      </c>
      <c r="L32">
        <f t="shared" ca="1" si="3"/>
        <v>5.4983475657071089E-2</v>
      </c>
      <c r="M32">
        <f t="shared" ca="1" si="3"/>
        <v>5.4975089800538092E-2</v>
      </c>
      <c r="N32">
        <f t="shared" ca="1" si="3"/>
        <v>5.4984642456570164E-2</v>
      </c>
      <c r="O32" s="43"/>
    </row>
    <row r="33" spans="3:15" x14ac:dyDescent="0.2">
      <c r="C33" s="3"/>
      <c r="D33">
        <v>31</v>
      </c>
      <c r="E33">
        <f t="shared" ca="1" si="4"/>
        <v>5.4967640188259358E-2</v>
      </c>
      <c r="F33">
        <f t="shared" ca="1" si="4"/>
        <v>5.4977758740873586E-2</v>
      </c>
      <c r="G33">
        <f t="shared" ca="1" si="4"/>
        <v>5.4977581140410264E-2</v>
      </c>
      <c r="H33">
        <f t="shared" ca="1" si="4"/>
        <v>5.4968142979613527E-2</v>
      </c>
      <c r="I33">
        <f t="shared" ca="1" si="4"/>
        <v>5.4969726671629159E-2</v>
      </c>
      <c r="J33">
        <f t="shared" ca="1" si="3"/>
        <v>5.4950582938773411E-2</v>
      </c>
      <c r="K33">
        <f t="shared" ca="1" si="3"/>
        <v>5.4966842025610196E-2</v>
      </c>
      <c r="L33">
        <f t="shared" ca="1" si="3"/>
        <v>5.4981471069017497E-2</v>
      </c>
      <c r="M33">
        <f t="shared" ca="1" si="3"/>
        <v>5.4975548067046583E-2</v>
      </c>
      <c r="N33">
        <f t="shared" ca="1" si="3"/>
        <v>5.498191557157716E-2</v>
      </c>
      <c r="O33" s="43"/>
    </row>
    <row r="34" spans="3:15" x14ac:dyDescent="0.2">
      <c r="C34" s="3"/>
      <c r="D34">
        <v>32</v>
      </c>
      <c r="E34">
        <f t="shared" ca="1" si="4"/>
        <v>5.4966481805405448E-2</v>
      </c>
      <c r="F34">
        <f t="shared" ca="1" si="4"/>
        <v>5.497084952461747E-2</v>
      </c>
      <c r="G34">
        <f t="shared" ca="1" si="4"/>
        <v>5.4979169975336459E-2</v>
      </c>
      <c r="H34">
        <f t="shared" ca="1" si="4"/>
        <v>5.4965618677158788E-2</v>
      </c>
      <c r="I34">
        <f t="shared" ca="1" si="4"/>
        <v>5.4968803656340881E-2</v>
      </c>
      <c r="J34">
        <f t="shared" ca="1" si="3"/>
        <v>5.494680753912147E-2</v>
      </c>
      <c r="K34">
        <f t="shared" ca="1" si="3"/>
        <v>5.4962551801897561E-2</v>
      </c>
      <c r="L34">
        <f t="shared" ca="1" si="3"/>
        <v>5.4978419398183501E-2</v>
      </c>
      <c r="M34">
        <f t="shared" ca="1" si="3"/>
        <v>5.4974303604420682E-2</v>
      </c>
      <c r="N34">
        <f t="shared" ca="1" si="3"/>
        <v>5.4978959983663832E-2</v>
      </c>
      <c r="O34" s="43"/>
    </row>
    <row r="35" spans="3:15" x14ac:dyDescent="0.2">
      <c r="C35" s="3"/>
      <c r="D35">
        <v>33</v>
      </c>
      <c r="E35">
        <f t="shared" ca="1" si="4"/>
        <v>5.4966972011588823E-2</v>
      </c>
      <c r="F35">
        <f t="shared" ca="1" si="4"/>
        <v>5.4966987126902955E-2</v>
      </c>
      <c r="G35">
        <f t="shared" ca="1" si="4"/>
        <v>5.497653754591799E-2</v>
      </c>
      <c r="H35">
        <f t="shared" ca="1" si="4"/>
        <v>5.49587073015292E-2</v>
      </c>
      <c r="I35">
        <f t="shared" ca="1" si="4"/>
        <v>5.4967240532651881E-2</v>
      </c>
      <c r="J35">
        <f t="shared" ca="1" si="3"/>
        <v>5.4948553031714323E-2</v>
      </c>
      <c r="K35">
        <f t="shared" ca="1" si="3"/>
        <v>5.4960243888421585E-2</v>
      </c>
      <c r="L35">
        <f t="shared" ca="1" si="3"/>
        <v>5.4975573088963142E-2</v>
      </c>
      <c r="M35">
        <f t="shared" ca="1" si="3"/>
        <v>5.4968412062462411E-2</v>
      </c>
      <c r="N35">
        <f t="shared" ca="1" si="3"/>
        <v>5.497829061901599E-2</v>
      </c>
      <c r="O35" s="43"/>
    </row>
    <row r="36" spans="3:15" x14ac:dyDescent="0.2">
      <c r="C36" s="3"/>
      <c r="D36">
        <v>34</v>
      </c>
      <c r="E36">
        <f t="shared" ca="1" si="4"/>
        <v>5.4962520455906091E-2</v>
      </c>
      <c r="F36">
        <f t="shared" ca="1" si="4"/>
        <v>5.4961845674391094E-2</v>
      </c>
      <c r="G36">
        <f t="shared" ca="1" si="4"/>
        <v>5.4980969923490781E-2</v>
      </c>
      <c r="H36">
        <f t="shared" ca="1" si="4"/>
        <v>5.4957961679310677E-2</v>
      </c>
      <c r="I36">
        <f t="shared" ca="1" si="4"/>
        <v>5.4965997697375028E-2</v>
      </c>
      <c r="J36">
        <f t="shared" ca="1" si="3"/>
        <v>5.4945280513364989E-2</v>
      </c>
      <c r="K36">
        <f t="shared" ca="1" si="3"/>
        <v>5.4955840825264078E-2</v>
      </c>
      <c r="L36">
        <f t="shared" ca="1" si="3"/>
        <v>5.4969604731447533E-2</v>
      </c>
      <c r="M36">
        <f t="shared" ca="1" si="3"/>
        <v>5.4960964608779445E-2</v>
      </c>
      <c r="N36">
        <f t="shared" ca="1" si="3"/>
        <v>5.4977790566560936E-2</v>
      </c>
      <c r="O36" s="43"/>
    </row>
    <row r="37" spans="3:15" x14ac:dyDescent="0.2">
      <c r="C37" s="3"/>
      <c r="D37">
        <v>35</v>
      </c>
      <c r="E37">
        <f t="shared" ca="1" si="4"/>
        <v>5.4960506532747394E-2</v>
      </c>
      <c r="F37">
        <f t="shared" ca="1" si="4"/>
        <v>5.4961371145041051E-2</v>
      </c>
      <c r="G37">
        <f t="shared" ca="1" si="4"/>
        <v>5.4975432911612068E-2</v>
      </c>
      <c r="H37">
        <f t="shared" ca="1" si="4"/>
        <v>5.4954705998221942E-2</v>
      </c>
      <c r="I37">
        <f t="shared" ca="1" si="4"/>
        <v>5.4967594824719808E-2</v>
      </c>
      <c r="J37">
        <f t="shared" ca="1" si="3"/>
        <v>5.4946767312035766E-2</v>
      </c>
      <c r="K37">
        <f t="shared" ca="1" si="3"/>
        <v>5.495167296650854E-2</v>
      </c>
      <c r="L37">
        <f t="shared" ca="1" si="3"/>
        <v>5.4966954385441642E-2</v>
      </c>
      <c r="M37">
        <f t="shared" ca="1" si="3"/>
        <v>5.4954809088689174E-2</v>
      </c>
      <c r="N37">
        <f t="shared" ca="1" si="3"/>
        <v>5.4972105858293249E-2</v>
      </c>
      <c r="O37" s="43"/>
    </row>
    <row r="38" spans="3:15" x14ac:dyDescent="0.2">
      <c r="C38" s="3"/>
      <c r="D38">
        <v>36</v>
      </c>
      <c r="E38">
        <f t="shared" ca="1" si="4"/>
        <v>5.4957797981409498E-2</v>
      </c>
      <c r="F38">
        <f t="shared" ca="1" si="4"/>
        <v>5.4957484202761808E-2</v>
      </c>
      <c r="G38">
        <f t="shared" ca="1" si="4"/>
        <v>5.4974130515981552E-2</v>
      </c>
      <c r="H38">
        <f t="shared" ca="1" si="4"/>
        <v>5.4956627331512117E-2</v>
      </c>
      <c r="I38">
        <f t="shared" ca="1" si="4"/>
        <v>5.4970265839906239E-2</v>
      </c>
      <c r="J38">
        <f t="shared" ca="1" si="3"/>
        <v>5.4949781169519651E-2</v>
      </c>
      <c r="K38">
        <f t="shared" ca="1" si="3"/>
        <v>5.4950551089153928E-2</v>
      </c>
      <c r="L38">
        <f t="shared" ca="1" si="3"/>
        <v>5.496789095996657E-2</v>
      </c>
      <c r="M38">
        <f t="shared" ca="1" si="3"/>
        <v>5.4949143261805694E-2</v>
      </c>
      <c r="N38">
        <f t="shared" ca="1" si="3"/>
        <v>5.4971014361019838E-2</v>
      </c>
      <c r="O38" s="43"/>
    </row>
    <row r="39" spans="3:15" x14ac:dyDescent="0.2">
      <c r="C39" s="3"/>
      <c r="D39">
        <v>37</v>
      </c>
      <c r="E39">
        <f t="shared" ca="1" si="4"/>
        <v>5.4953579278363522E-2</v>
      </c>
      <c r="F39">
        <f t="shared" ca="1" si="4"/>
        <v>5.4957752221131979E-2</v>
      </c>
      <c r="G39">
        <f t="shared" ca="1" si="4"/>
        <v>5.4971135819993057E-2</v>
      </c>
      <c r="H39">
        <f t="shared" ca="1" si="4"/>
        <v>5.4955811905068236E-2</v>
      </c>
      <c r="I39">
        <f t="shared" ca="1" si="4"/>
        <v>5.4968586930007758E-2</v>
      </c>
      <c r="J39">
        <f t="shared" ca="1" si="3"/>
        <v>5.4947347166394191E-2</v>
      </c>
      <c r="K39">
        <f t="shared" ca="1" si="3"/>
        <v>5.4947566222207374E-2</v>
      </c>
      <c r="L39">
        <f t="shared" ca="1" si="3"/>
        <v>5.4964888443934601E-2</v>
      </c>
      <c r="M39">
        <f t="shared" ca="1" si="3"/>
        <v>5.4944021765495815E-2</v>
      </c>
      <c r="N39">
        <f t="shared" ca="1" si="3"/>
        <v>5.4963670282185552E-2</v>
      </c>
      <c r="O39" s="43"/>
    </row>
    <row r="40" spans="3:15" x14ac:dyDescent="0.2">
      <c r="C40" s="3"/>
      <c r="D40">
        <v>38</v>
      </c>
      <c r="E40">
        <f t="shared" ca="1" si="4"/>
        <v>5.4951348341050928E-2</v>
      </c>
      <c r="F40">
        <f t="shared" ca="1" si="4"/>
        <v>5.495573069682335E-2</v>
      </c>
      <c r="G40">
        <f t="shared" ca="1" si="4"/>
        <v>5.4967066947604351E-2</v>
      </c>
      <c r="H40">
        <f t="shared" ca="1" si="4"/>
        <v>5.4956153494564425E-2</v>
      </c>
      <c r="I40">
        <f t="shared" ca="1" si="4"/>
        <v>5.4960930380720037E-2</v>
      </c>
      <c r="J40">
        <f t="shared" ca="1" si="3"/>
        <v>5.494761220373065E-2</v>
      </c>
      <c r="K40">
        <f t="shared" ca="1" si="3"/>
        <v>5.4944950774782432E-2</v>
      </c>
      <c r="L40">
        <f t="shared" ca="1" si="3"/>
        <v>5.4962236928470673E-2</v>
      </c>
      <c r="M40">
        <f t="shared" ca="1" si="3"/>
        <v>5.4940390870829754E-2</v>
      </c>
      <c r="N40">
        <f t="shared" ca="1" si="3"/>
        <v>5.4961400212705916E-2</v>
      </c>
      <c r="O40" s="43"/>
    </row>
    <row r="41" spans="3:15" x14ac:dyDescent="0.2">
      <c r="C41" s="3"/>
      <c r="D41">
        <v>39</v>
      </c>
      <c r="E41">
        <f t="shared" ca="1" si="4"/>
        <v>5.4944142014760861E-2</v>
      </c>
      <c r="F41">
        <f t="shared" ca="1" si="4"/>
        <v>5.4949774126259315E-2</v>
      </c>
      <c r="G41">
        <f t="shared" ca="1" si="4"/>
        <v>5.4960299317524837E-2</v>
      </c>
      <c r="H41">
        <f t="shared" ca="1" si="4"/>
        <v>5.4951726046651446E-2</v>
      </c>
      <c r="I41">
        <f t="shared" ca="1" si="4"/>
        <v>5.4957290193248826E-2</v>
      </c>
      <c r="J41">
        <f t="shared" ca="1" si="3"/>
        <v>5.494461671726418E-2</v>
      </c>
      <c r="K41">
        <f t="shared" ca="1" si="3"/>
        <v>5.4944746882582107E-2</v>
      </c>
      <c r="L41">
        <f t="shared" ca="1" si="3"/>
        <v>5.4962153339099151E-2</v>
      </c>
      <c r="M41">
        <f t="shared" ca="1" si="3"/>
        <v>5.4939286817703097E-2</v>
      </c>
      <c r="N41">
        <f t="shared" ca="1" si="3"/>
        <v>5.4954489336088347E-2</v>
      </c>
      <c r="O41" s="43"/>
    </row>
    <row r="42" spans="3:15" x14ac:dyDescent="0.2">
      <c r="C42" s="3"/>
      <c r="D42">
        <v>40</v>
      </c>
      <c r="E42">
        <f t="shared" ca="1" si="4"/>
        <v>5.4946213053341943E-2</v>
      </c>
      <c r="F42">
        <f t="shared" ca="1" si="4"/>
        <v>5.4949226697810626E-2</v>
      </c>
      <c r="G42">
        <f t="shared" ca="1" si="4"/>
        <v>5.4960153370760469E-2</v>
      </c>
      <c r="H42">
        <f t="shared" ca="1" si="4"/>
        <v>5.4951280837902586E-2</v>
      </c>
      <c r="I42">
        <f t="shared" ca="1" si="4"/>
        <v>5.4956383825059171E-2</v>
      </c>
      <c r="J42">
        <f t="shared" ca="1" si="3"/>
        <v>5.494089833750701E-2</v>
      </c>
      <c r="K42">
        <f t="shared" ca="1" si="3"/>
        <v>5.4942653011634736E-2</v>
      </c>
      <c r="L42">
        <f t="shared" ca="1" si="3"/>
        <v>5.4960757631730459E-2</v>
      </c>
      <c r="M42">
        <f t="shared" ca="1" si="3"/>
        <v>5.493873681539603E-2</v>
      </c>
      <c r="N42">
        <f t="shared" ca="1" si="3"/>
        <v>5.495475074525364E-2</v>
      </c>
      <c r="O42" s="43"/>
    </row>
    <row r="43" spans="3:15" x14ac:dyDescent="0.2">
      <c r="C43" s="3"/>
      <c r="D43">
        <v>41</v>
      </c>
      <c r="E43">
        <f t="shared" ca="1" si="4"/>
        <v>5.4945748851522938E-2</v>
      </c>
      <c r="F43">
        <f t="shared" ca="1" si="4"/>
        <v>5.4950551394655898E-2</v>
      </c>
      <c r="G43">
        <f t="shared" ca="1" si="4"/>
        <v>5.4958308468637758E-2</v>
      </c>
      <c r="H43">
        <f t="shared" ca="1" si="4"/>
        <v>5.4952852366640492E-2</v>
      </c>
      <c r="I43">
        <f t="shared" ca="1" si="4"/>
        <v>5.4954344498885276E-2</v>
      </c>
      <c r="J43">
        <f t="shared" ca="1" si="3"/>
        <v>5.494036379538042E-2</v>
      </c>
      <c r="K43">
        <f t="shared" ca="1" si="3"/>
        <v>5.4943145011334016E-2</v>
      </c>
      <c r="L43">
        <f t="shared" ca="1" si="3"/>
        <v>5.495542355762844E-2</v>
      </c>
      <c r="M43">
        <f t="shared" ca="1" si="3"/>
        <v>5.4940591591173725E-2</v>
      </c>
      <c r="N43">
        <f t="shared" ca="1" si="3"/>
        <v>5.49506195741448E-2</v>
      </c>
      <c r="O43" s="43"/>
    </row>
    <row r="44" spans="3:15" x14ac:dyDescent="0.2">
      <c r="C44" s="3"/>
      <c r="D44">
        <v>42</v>
      </c>
      <c r="E44">
        <f t="shared" ca="1" si="4"/>
        <v>5.4945109064945666E-2</v>
      </c>
      <c r="F44">
        <f t="shared" ca="1" si="4"/>
        <v>5.4950504688399786E-2</v>
      </c>
      <c r="G44">
        <f t="shared" ca="1" si="4"/>
        <v>5.4952901711829552E-2</v>
      </c>
      <c r="H44">
        <f t="shared" ca="1" si="4"/>
        <v>5.4947553638236335E-2</v>
      </c>
      <c r="I44">
        <f t="shared" ca="1" si="4"/>
        <v>5.4950025341493139E-2</v>
      </c>
      <c r="J44">
        <f t="shared" ca="1" si="3"/>
        <v>5.4938076887727366E-2</v>
      </c>
      <c r="K44">
        <f t="shared" ca="1" si="3"/>
        <v>5.493871750967369E-2</v>
      </c>
      <c r="L44">
        <f t="shared" ca="1" si="3"/>
        <v>5.4950698416825886E-2</v>
      </c>
      <c r="M44">
        <f t="shared" ca="1" si="3"/>
        <v>5.4945083994714095E-2</v>
      </c>
      <c r="N44">
        <f t="shared" ca="1" si="3"/>
        <v>5.4949148189448578E-2</v>
      </c>
      <c r="O44" s="43"/>
    </row>
    <row r="45" spans="3:15" x14ac:dyDescent="0.2">
      <c r="C45" s="3"/>
      <c r="D45">
        <v>43</v>
      </c>
      <c r="E45">
        <f t="shared" ca="1" si="4"/>
        <v>5.4944589903899124E-2</v>
      </c>
      <c r="F45">
        <f t="shared" ca="1" si="4"/>
        <v>5.4944431333608913E-2</v>
      </c>
      <c r="G45">
        <f t="shared" ca="1" si="4"/>
        <v>5.4946894104687158E-2</v>
      </c>
      <c r="H45">
        <f t="shared" ca="1" si="4"/>
        <v>5.4950008552493081E-2</v>
      </c>
      <c r="I45">
        <f t="shared" ca="1" si="4"/>
        <v>5.4944133397390189E-2</v>
      </c>
      <c r="J45">
        <f t="shared" ca="1" si="3"/>
        <v>5.4933146715708578E-2</v>
      </c>
      <c r="K45">
        <f t="shared" ca="1" si="3"/>
        <v>5.4944514378603301E-2</v>
      </c>
      <c r="L45">
        <f t="shared" ca="1" si="3"/>
        <v>5.4947045369450671E-2</v>
      </c>
      <c r="M45">
        <f t="shared" ca="1" si="3"/>
        <v>5.4950943129375728E-2</v>
      </c>
      <c r="N45">
        <f t="shared" ca="1" si="3"/>
        <v>5.4949125865349342E-2</v>
      </c>
      <c r="O45" s="43"/>
    </row>
    <row r="46" spans="3:15" x14ac:dyDescent="0.2">
      <c r="C46" s="3"/>
      <c r="D46">
        <v>44</v>
      </c>
      <c r="E46">
        <f t="shared" ca="1" si="4"/>
        <v>5.4943183758068739E-2</v>
      </c>
      <c r="F46">
        <f t="shared" ca="1" si="4"/>
        <v>5.4945107827079051E-2</v>
      </c>
      <c r="G46">
        <f t="shared" ca="1" si="4"/>
        <v>5.4946452933378298E-2</v>
      </c>
      <c r="H46">
        <f t="shared" ca="1" si="4"/>
        <v>5.4947025820263944E-2</v>
      </c>
      <c r="I46">
        <f t="shared" ca="1" si="4"/>
        <v>5.4940273228687705E-2</v>
      </c>
      <c r="J46">
        <f t="shared" ca="1" si="3"/>
        <v>5.4931383767547276E-2</v>
      </c>
      <c r="K46">
        <f t="shared" ca="1" si="3"/>
        <v>5.4941405963770749E-2</v>
      </c>
      <c r="L46">
        <f t="shared" ca="1" si="3"/>
        <v>5.4949199046162897E-2</v>
      </c>
      <c r="M46">
        <f t="shared" ca="1" si="3"/>
        <v>5.4947675415056005E-2</v>
      </c>
      <c r="N46">
        <f t="shared" ca="1" si="3"/>
        <v>5.4946645797386492E-2</v>
      </c>
      <c r="O46" s="43"/>
    </row>
    <row r="47" spans="3:15" x14ac:dyDescent="0.2">
      <c r="C47" s="3"/>
      <c r="D47">
        <v>45</v>
      </c>
      <c r="E47">
        <f t="shared" ca="1" si="4"/>
        <v>5.4943239767658726E-2</v>
      </c>
      <c r="F47">
        <f t="shared" ca="1" si="4"/>
        <v>5.4938480411997254E-2</v>
      </c>
      <c r="G47">
        <f t="shared" ca="1" si="4"/>
        <v>5.4943666298949916E-2</v>
      </c>
      <c r="H47">
        <f t="shared" ca="1" si="4"/>
        <v>5.4944921784695677E-2</v>
      </c>
      <c r="I47">
        <f t="shared" ca="1" si="4"/>
        <v>5.493655330295099E-2</v>
      </c>
      <c r="J47">
        <f t="shared" ca="1" si="3"/>
        <v>5.4928637091189468E-2</v>
      </c>
      <c r="K47">
        <f t="shared" ca="1" si="3"/>
        <v>5.4944366072282799E-2</v>
      </c>
      <c r="L47">
        <f t="shared" ca="1" si="3"/>
        <v>5.4950710485988222E-2</v>
      </c>
      <c r="M47">
        <f t="shared" ca="1" si="3"/>
        <v>5.4950984601266767E-2</v>
      </c>
      <c r="N47">
        <f t="shared" ca="1" si="3"/>
        <v>5.4941700576234875E-2</v>
      </c>
      <c r="O47" s="43"/>
    </row>
    <row r="48" spans="3:15" x14ac:dyDescent="0.2">
      <c r="C48" s="3"/>
      <c r="D48">
        <v>46</v>
      </c>
      <c r="E48">
        <f t="shared" ca="1" si="4"/>
        <v>5.4935882682526666E-2</v>
      </c>
      <c r="F48">
        <f t="shared" ca="1" si="4"/>
        <v>5.4936473634218934E-2</v>
      </c>
      <c r="G48">
        <f t="shared" ca="1" si="4"/>
        <v>5.4940274468397075E-2</v>
      </c>
      <c r="H48">
        <f t="shared" ca="1" si="4"/>
        <v>5.4943346715307297E-2</v>
      </c>
      <c r="I48">
        <f t="shared" ca="1" si="4"/>
        <v>5.4933382692864872E-2</v>
      </c>
      <c r="J48">
        <f t="shared" ca="1" si="3"/>
        <v>5.4926619795090031E-2</v>
      </c>
      <c r="K48">
        <f t="shared" ca="1" si="3"/>
        <v>5.4942771900323872E-2</v>
      </c>
      <c r="L48">
        <f t="shared" ca="1" si="3"/>
        <v>5.4948332288361365E-2</v>
      </c>
      <c r="M48">
        <f t="shared" ca="1" si="3"/>
        <v>5.4951032382636329E-2</v>
      </c>
      <c r="N48">
        <f t="shared" ca="1" si="3"/>
        <v>5.4936774342411086E-2</v>
      </c>
      <c r="O48" s="43"/>
    </row>
    <row r="49" spans="3:15" x14ac:dyDescent="0.2">
      <c r="C49" s="3"/>
      <c r="D49">
        <v>47</v>
      </c>
      <c r="E49">
        <f t="shared" ca="1" si="4"/>
        <v>5.4935291448646811E-2</v>
      </c>
      <c r="F49">
        <f t="shared" ca="1" si="4"/>
        <v>5.4934869823658063E-2</v>
      </c>
      <c r="G49">
        <f t="shared" ca="1" si="4"/>
        <v>5.4937266806946917E-2</v>
      </c>
      <c r="H49">
        <f t="shared" ca="1" si="4"/>
        <v>5.4938716989814049E-2</v>
      </c>
      <c r="I49">
        <f t="shared" ca="1" si="4"/>
        <v>5.4927600883263018E-2</v>
      </c>
      <c r="J49">
        <f t="shared" ca="1" si="3"/>
        <v>5.4930037940345421E-2</v>
      </c>
      <c r="K49">
        <f t="shared" ca="1" si="3"/>
        <v>5.4939281498514743E-2</v>
      </c>
      <c r="L49">
        <f t="shared" ca="1" si="3"/>
        <v>5.4946679673945349E-2</v>
      </c>
      <c r="M49">
        <f t="shared" ca="1" si="3"/>
        <v>5.4950613074640518E-2</v>
      </c>
      <c r="N49">
        <f t="shared" ca="1" si="3"/>
        <v>5.494025575535362E-2</v>
      </c>
      <c r="O49" s="43"/>
    </row>
    <row r="50" spans="3:15" x14ac:dyDescent="0.2">
      <c r="C50" s="3"/>
      <c r="D50">
        <v>48</v>
      </c>
      <c r="E50">
        <f t="shared" ca="1" si="4"/>
        <v>5.4928843181011558E-2</v>
      </c>
      <c r="F50">
        <f t="shared" ca="1" si="4"/>
        <v>5.4936409665399227E-2</v>
      </c>
      <c r="G50">
        <f t="shared" ca="1" si="4"/>
        <v>5.49292191396763E-2</v>
      </c>
      <c r="H50">
        <f t="shared" ca="1" si="4"/>
        <v>5.4940478762487345E-2</v>
      </c>
      <c r="I50">
        <f t="shared" ca="1" si="4"/>
        <v>5.4922390509788317E-2</v>
      </c>
      <c r="J50">
        <f t="shared" ca="1" si="3"/>
        <v>5.4930161912166001E-2</v>
      </c>
      <c r="K50">
        <f t="shared" ca="1" si="3"/>
        <v>5.4937738381097903E-2</v>
      </c>
      <c r="L50">
        <f t="shared" ca="1" si="3"/>
        <v>5.4949890025757821E-2</v>
      </c>
      <c r="M50">
        <f t="shared" ca="1" si="3"/>
        <v>5.4947324992166868E-2</v>
      </c>
      <c r="N50">
        <f t="shared" ca="1" si="3"/>
        <v>5.4943970190524931E-2</v>
      </c>
      <c r="O50" s="43"/>
    </row>
    <row r="51" spans="3:15" x14ac:dyDescent="0.2">
      <c r="C51" s="3"/>
      <c r="D51">
        <v>49</v>
      </c>
      <c r="E51">
        <f t="shared" ca="1" si="4"/>
        <v>5.4923047130472538E-2</v>
      </c>
      <c r="F51">
        <f t="shared" ca="1" si="4"/>
        <v>5.4936185156798108E-2</v>
      </c>
      <c r="G51">
        <f t="shared" ca="1" si="4"/>
        <v>5.4924521486381925E-2</v>
      </c>
      <c r="H51">
        <f t="shared" ca="1" si="4"/>
        <v>5.4938304512714621E-2</v>
      </c>
      <c r="I51">
        <f t="shared" ca="1" si="4"/>
        <v>5.4921435663436102E-2</v>
      </c>
      <c r="J51">
        <f t="shared" ca="1" si="3"/>
        <v>5.49301898988055E-2</v>
      </c>
      <c r="K51">
        <f t="shared" ca="1" si="3"/>
        <v>5.4935017195401926E-2</v>
      </c>
      <c r="L51">
        <f t="shared" ca="1" si="3"/>
        <v>5.4945610050431304E-2</v>
      </c>
      <c r="M51">
        <f t="shared" ca="1" si="3"/>
        <v>5.4951281581593861E-2</v>
      </c>
      <c r="N51">
        <f t="shared" ca="1" si="3"/>
        <v>5.4945470758573173E-2</v>
      </c>
      <c r="O51" s="43"/>
    </row>
    <row r="52" spans="3:15" x14ac:dyDescent="0.2">
      <c r="C52" s="3"/>
      <c r="D52">
        <v>50</v>
      </c>
      <c r="E52">
        <f t="shared" ca="1" si="4"/>
        <v>5.492112348177975E-2</v>
      </c>
      <c r="F52">
        <f t="shared" ca="1" si="4"/>
        <v>5.4929038863242421E-2</v>
      </c>
      <c r="G52">
        <f t="shared" ca="1" si="4"/>
        <v>5.4919498572120765E-2</v>
      </c>
      <c r="H52">
        <f t="shared" ca="1" si="4"/>
        <v>5.4933682584783212E-2</v>
      </c>
      <c r="I52">
        <f t="shared" ca="1" si="4"/>
        <v>5.4920485546092704E-2</v>
      </c>
      <c r="J52">
        <f t="shared" ca="1" si="3"/>
        <v>5.4932731698034185E-2</v>
      </c>
      <c r="K52">
        <f t="shared" ca="1" si="3"/>
        <v>5.492977424215887E-2</v>
      </c>
      <c r="L52">
        <f t="shared" ca="1" si="3"/>
        <v>5.494385445949812E-2</v>
      </c>
      <c r="M52">
        <f t="shared" ca="1" si="3"/>
        <v>5.4945964171001706E-2</v>
      </c>
      <c r="N52">
        <f t="shared" ca="1" si="3"/>
        <v>5.4939236063723945E-2</v>
      </c>
      <c r="O52" s="43"/>
    </row>
    <row r="53" spans="3:15" x14ac:dyDescent="0.2">
      <c r="C53" s="3"/>
      <c r="D53">
        <v>51</v>
      </c>
      <c r="E53">
        <f t="shared" ca="1" si="4"/>
        <v>5.49192852100392E-2</v>
      </c>
      <c r="F53">
        <f t="shared" ca="1" si="4"/>
        <v>5.4931663458721899E-2</v>
      </c>
      <c r="G53">
        <f t="shared" ca="1" si="4"/>
        <v>5.4917005429366367E-2</v>
      </c>
      <c r="H53">
        <f t="shared" ca="1" si="4"/>
        <v>5.4933545728814738E-2</v>
      </c>
      <c r="I53">
        <f t="shared" ca="1" si="4"/>
        <v>5.491938012174518E-2</v>
      </c>
      <c r="J53">
        <f t="shared" ca="1" si="3"/>
        <v>5.4930175277911844E-2</v>
      </c>
      <c r="K53">
        <f t="shared" ca="1" si="3"/>
        <v>5.4924789710303089E-2</v>
      </c>
      <c r="L53">
        <f t="shared" ca="1" si="3"/>
        <v>5.4944990167896418E-2</v>
      </c>
      <c r="M53">
        <f t="shared" ca="1" si="3"/>
        <v>5.4945559609386158E-2</v>
      </c>
      <c r="N53">
        <f t="shared" ca="1" si="3"/>
        <v>5.4934299469637807E-2</v>
      </c>
      <c r="O53" s="43"/>
    </row>
    <row r="54" spans="3:15" x14ac:dyDescent="0.2">
      <c r="C54" s="3"/>
      <c r="D54">
        <v>52</v>
      </c>
      <c r="E54">
        <f t="shared" ca="1" si="4"/>
        <v>5.4919738833535153E-2</v>
      </c>
      <c r="F54">
        <f t="shared" ca="1" si="4"/>
        <v>5.4924726923838645E-2</v>
      </c>
      <c r="G54">
        <f t="shared" ca="1" si="4"/>
        <v>5.4915097311949046E-2</v>
      </c>
      <c r="H54">
        <f t="shared" ca="1" si="4"/>
        <v>5.4935336338016137E-2</v>
      </c>
      <c r="I54">
        <f t="shared" ca="1" si="4"/>
        <v>5.4919112872978661E-2</v>
      </c>
      <c r="J54">
        <f t="shared" ca="1" si="3"/>
        <v>5.4927012630647649E-2</v>
      </c>
      <c r="K54">
        <f t="shared" ca="1" si="3"/>
        <v>5.4919726860245779E-2</v>
      </c>
      <c r="L54">
        <f t="shared" ca="1" si="3"/>
        <v>5.4944390662796334E-2</v>
      </c>
      <c r="M54">
        <f t="shared" ca="1" si="3"/>
        <v>5.494128331530574E-2</v>
      </c>
      <c r="N54">
        <f t="shared" ca="1" si="3"/>
        <v>5.4933348395741433E-2</v>
      </c>
      <c r="O54" s="43"/>
    </row>
    <row r="55" spans="3:15" x14ac:dyDescent="0.2">
      <c r="C55" s="3"/>
      <c r="D55">
        <v>53</v>
      </c>
      <c r="E55">
        <f t="shared" ca="1" si="4"/>
        <v>5.4919746003230747E-2</v>
      </c>
      <c r="F55">
        <f t="shared" ca="1" si="4"/>
        <v>5.4920978466429925E-2</v>
      </c>
      <c r="G55">
        <f t="shared" ca="1" si="4"/>
        <v>5.4914139301800884E-2</v>
      </c>
      <c r="H55">
        <f t="shared" ca="1" si="4"/>
        <v>5.4930068415804605E-2</v>
      </c>
      <c r="I55">
        <f t="shared" ca="1" si="4"/>
        <v>5.4917022408015548E-2</v>
      </c>
      <c r="J55">
        <f t="shared" ca="1" si="3"/>
        <v>5.4922348709742511E-2</v>
      </c>
      <c r="K55">
        <f t="shared" ca="1" si="3"/>
        <v>5.492334941887677E-2</v>
      </c>
      <c r="L55">
        <f t="shared" ca="1" si="3"/>
        <v>5.4942365514199995E-2</v>
      </c>
      <c r="M55">
        <f t="shared" ca="1" si="3"/>
        <v>5.4936559888773315E-2</v>
      </c>
      <c r="N55">
        <f t="shared" ca="1" si="3"/>
        <v>5.4927873801095498E-2</v>
      </c>
      <c r="O55" s="43"/>
    </row>
    <row r="56" spans="3:15" x14ac:dyDescent="0.2">
      <c r="C56" s="3"/>
      <c r="D56">
        <v>54</v>
      </c>
      <c r="E56">
        <f t="shared" ca="1" si="4"/>
        <v>5.4918175015014968E-2</v>
      </c>
      <c r="F56">
        <f t="shared" ca="1" si="4"/>
        <v>5.491807089576696E-2</v>
      </c>
      <c r="G56">
        <f t="shared" ca="1" si="4"/>
        <v>5.4914303180951071E-2</v>
      </c>
      <c r="H56">
        <f t="shared" ca="1" si="4"/>
        <v>5.4926090304595679E-2</v>
      </c>
      <c r="I56">
        <f t="shared" ca="1" si="4"/>
        <v>5.491381309342034E-2</v>
      </c>
      <c r="J56">
        <f t="shared" ca="1" si="3"/>
        <v>5.4918596213624375E-2</v>
      </c>
      <c r="K56">
        <f t="shared" ca="1" si="3"/>
        <v>5.4921962417815912E-2</v>
      </c>
      <c r="L56">
        <f t="shared" ca="1" si="3"/>
        <v>5.4939360710151562E-2</v>
      </c>
      <c r="M56">
        <f t="shared" ca="1" si="3"/>
        <v>5.493382056989065E-2</v>
      </c>
      <c r="N56">
        <f t="shared" ca="1" si="3"/>
        <v>5.4928327574370647E-2</v>
      </c>
      <c r="O56" s="43"/>
    </row>
    <row r="57" spans="3:15" x14ac:dyDescent="0.2">
      <c r="C57" s="3"/>
      <c r="D57">
        <v>55</v>
      </c>
      <c r="E57">
        <f t="shared" ca="1" si="4"/>
        <v>5.4916392420159096E-2</v>
      </c>
      <c r="F57">
        <f t="shared" ca="1" si="4"/>
        <v>5.492145295708499E-2</v>
      </c>
      <c r="G57">
        <f t="shared" ca="1" si="4"/>
        <v>5.4909148248150123E-2</v>
      </c>
      <c r="H57">
        <f t="shared" ca="1" si="4"/>
        <v>5.4931505334852054E-2</v>
      </c>
      <c r="I57">
        <f t="shared" ca="1" si="4"/>
        <v>5.4913270856572917E-2</v>
      </c>
      <c r="J57">
        <f t="shared" ca="1" si="3"/>
        <v>5.4917801376667047E-2</v>
      </c>
      <c r="K57">
        <f t="shared" ca="1" si="3"/>
        <v>5.4916595538903538E-2</v>
      </c>
      <c r="L57">
        <f t="shared" ca="1" si="3"/>
        <v>5.4937463731767604E-2</v>
      </c>
      <c r="M57">
        <f t="shared" ca="1" si="3"/>
        <v>5.4930848996799342E-2</v>
      </c>
      <c r="N57">
        <f t="shared" ca="1" si="3"/>
        <v>5.4924016153474593E-2</v>
      </c>
      <c r="O57" s="43"/>
    </row>
    <row r="58" spans="3:15" x14ac:dyDescent="0.2">
      <c r="C58" s="3"/>
      <c r="D58">
        <v>56</v>
      </c>
      <c r="E58">
        <f t="shared" ca="1" si="4"/>
        <v>5.4916033300052867E-2</v>
      </c>
      <c r="F58">
        <f t="shared" ca="1" si="4"/>
        <v>5.4917911077208441E-2</v>
      </c>
      <c r="G58">
        <f t="shared" ca="1" si="4"/>
        <v>5.4909651885102273E-2</v>
      </c>
      <c r="H58">
        <f t="shared" ca="1" si="4"/>
        <v>5.4928853942544674E-2</v>
      </c>
      <c r="I58">
        <f t="shared" ca="1" si="4"/>
        <v>5.4912572374861184E-2</v>
      </c>
      <c r="J58">
        <f t="shared" ca="1" si="3"/>
        <v>5.491876387704963E-2</v>
      </c>
      <c r="K58">
        <f t="shared" ca="1" si="3"/>
        <v>5.4915220456347363E-2</v>
      </c>
      <c r="L58">
        <f t="shared" ca="1" si="3"/>
        <v>5.4936349767675932E-2</v>
      </c>
      <c r="M58">
        <f t="shared" ca="1" si="3"/>
        <v>5.4925974738549405E-2</v>
      </c>
      <c r="N58">
        <f t="shared" ca="1" si="3"/>
        <v>5.4924349827556493E-2</v>
      </c>
      <c r="O58" s="43"/>
    </row>
    <row r="59" spans="3:15" x14ac:dyDescent="0.2">
      <c r="C59" s="3"/>
      <c r="D59">
        <v>57</v>
      </c>
      <c r="E59">
        <f t="shared" ca="1" si="4"/>
        <v>5.4911610945252334E-2</v>
      </c>
      <c r="F59">
        <f t="shared" ca="1" si="4"/>
        <v>5.4923598972853781E-2</v>
      </c>
      <c r="G59">
        <f t="shared" ca="1" si="4"/>
        <v>5.4911204691155152E-2</v>
      </c>
      <c r="H59">
        <f t="shared" ca="1" si="4"/>
        <v>5.493143517742631E-2</v>
      </c>
      <c r="I59">
        <f t="shared" ca="1" si="4"/>
        <v>5.4914417006442055E-2</v>
      </c>
      <c r="J59">
        <f t="shared" ca="1" si="3"/>
        <v>5.4916081514550415E-2</v>
      </c>
      <c r="K59">
        <f t="shared" ca="1" si="3"/>
        <v>5.4906721239098899E-2</v>
      </c>
      <c r="L59">
        <f t="shared" ca="1" si="3"/>
        <v>5.493085574078773E-2</v>
      </c>
      <c r="M59">
        <f t="shared" ca="1" si="3"/>
        <v>5.4925748120246504E-2</v>
      </c>
      <c r="N59">
        <f t="shared" ca="1" si="3"/>
        <v>5.4923217068495699E-2</v>
      </c>
      <c r="O59" s="43"/>
    </row>
    <row r="60" spans="3:15" x14ac:dyDescent="0.2">
      <c r="C60" s="3"/>
      <c r="D60">
        <v>58</v>
      </c>
      <c r="E60">
        <f t="shared" ca="1" si="4"/>
        <v>5.4917551415690602E-2</v>
      </c>
      <c r="F60">
        <f t="shared" ca="1" si="4"/>
        <v>5.491983059558344E-2</v>
      </c>
      <c r="G60">
        <f t="shared" ca="1" si="4"/>
        <v>5.49111433629852E-2</v>
      </c>
      <c r="H60">
        <f t="shared" ca="1" si="4"/>
        <v>5.4928754034931547E-2</v>
      </c>
      <c r="I60">
        <f t="shared" ca="1" si="4"/>
        <v>5.4913622785908139E-2</v>
      </c>
      <c r="J60">
        <f t="shared" ca="1" si="3"/>
        <v>5.4914537775990625E-2</v>
      </c>
      <c r="K60">
        <f t="shared" ca="1" si="3"/>
        <v>5.4904719543940543E-2</v>
      </c>
      <c r="L60">
        <f t="shared" ca="1" si="3"/>
        <v>5.4929429860963892E-2</v>
      </c>
      <c r="M60">
        <f t="shared" ca="1" si="3"/>
        <v>5.492869593332534E-2</v>
      </c>
      <c r="N60">
        <f t="shared" ca="1" si="3"/>
        <v>5.492368698697199E-2</v>
      </c>
      <c r="O60" s="43"/>
    </row>
    <row r="61" spans="3:15" x14ac:dyDescent="0.2">
      <c r="C61" s="3"/>
      <c r="D61">
        <v>59</v>
      </c>
      <c r="E61">
        <f t="shared" ca="1" si="4"/>
        <v>5.4918472416655983E-2</v>
      </c>
      <c r="F61">
        <f t="shared" ca="1" si="4"/>
        <v>5.4916520792207671E-2</v>
      </c>
      <c r="G61">
        <f t="shared" ca="1" si="4"/>
        <v>5.4904067421492994E-2</v>
      </c>
      <c r="H61">
        <f t="shared" ca="1" si="4"/>
        <v>5.492549656525763E-2</v>
      </c>
      <c r="I61">
        <f t="shared" ca="1" si="4"/>
        <v>5.4911919757230664E-2</v>
      </c>
      <c r="J61">
        <f t="shared" ca="1" si="3"/>
        <v>5.4908134329026956E-2</v>
      </c>
      <c r="K61">
        <f t="shared" ca="1" si="3"/>
        <v>5.4906751740274595E-2</v>
      </c>
      <c r="L61">
        <f t="shared" ca="1" si="3"/>
        <v>5.493100195209949E-2</v>
      </c>
      <c r="M61">
        <f t="shared" ca="1" si="3"/>
        <v>5.492771317326247E-2</v>
      </c>
      <c r="N61">
        <f t="shared" ca="1" si="3"/>
        <v>5.4926749387577835E-2</v>
      </c>
      <c r="O61" s="43"/>
    </row>
    <row r="62" spans="3:15" x14ac:dyDescent="0.2">
      <c r="C62" s="3"/>
      <c r="D62">
        <v>60</v>
      </c>
      <c r="E62">
        <f t="shared" ca="1" si="4"/>
        <v>5.492011043600982E-2</v>
      </c>
      <c r="F62">
        <f t="shared" ca="1" si="4"/>
        <v>5.4917841936927059E-2</v>
      </c>
      <c r="G62">
        <f t="shared" ca="1" si="4"/>
        <v>5.4904971985192987E-2</v>
      </c>
      <c r="H62">
        <f t="shared" ca="1" si="4"/>
        <v>5.4928620289538439E-2</v>
      </c>
      <c r="I62">
        <f t="shared" ca="1" si="4"/>
        <v>5.4915781305512924E-2</v>
      </c>
      <c r="J62">
        <f t="shared" ca="1" si="3"/>
        <v>5.4905316536831734E-2</v>
      </c>
      <c r="K62">
        <f t="shared" ca="1" si="3"/>
        <v>5.4902442994535373E-2</v>
      </c>
      <c r="L62">
        <f t="shared" ca="1" si="3"/>
        <v>5.4926488683296831E-2</v>
      </c>
      <c r="M62">
        <f t="shared" ca="1" si="3"/>
        <v>5.4923999488837333E-2</v>
      </c>
      <c r="N62">
        <f t="shared" ca="1" si="3"/>
        <v>5.4923500359488411E-2</v>
      </c>
      <c r="O62" s="43"/>
    </row>
    <row r="63" spans="3:15" x14ac:dyDescent="0.2">
      <c r="C63" s="3"/>
      <c r="D63">
        <v>61</v>
      </c>
      <c r="E63">
        <f t="shared" ca="1" si="4"/>
        <v>5.4917290881172837E-2</v>
      </c>
      <c r="F63">
        <f t="shared" ca="1" si="4"/>
        <v>5.4912688407736436E-2</v>
      </c>
      <c r="G63">
        <f t="shared" ca="1" si="4"/>
        <v>5.4901106308797264E-2</v>
      </c>
      <c r="H63">
        <f t="shared" ca="1" si="4"/>
        <v>5.4923939101292778E-2</v>
      </c>
      <c r="I63">
        <f t="shared" ca="1" si="4"/>
        <v>5.4914912728113809E-2</v>
      </c>
      <c r="J63">
        <f t="shared" ca="1" si="3"/>
        <v>5.490351509466776E-2</v>
      </c>
      <c r="K63">
        <f t="shared" ca="1" si="3"/>
        <v>5.4899269307499027E-2</v>
      </c>
      <c r="L63">
        <f t="shared" ca="1" si="3"/>
        <v>5.4928327738150047E-2</v>
      </c>
      <c r="M63">
        <f t="shared" ca="1" si="3"/>
        <v>5.4922227592778115E-2</v>
      </c>
      <c r="N63">
        <f t="shared" ca="1" si="3"/>
        <v>5.4919978653091207E-2</v>
      </c>
      <c r="O63" s="43"/>
    </row>
    <row r="64" spans="3:15" x14ac:dyDescent="0.2">
      <c r="C64" s="3"/>
      <c r="D64">
        <v>62</v>
      </c>
      <c r="E64">
        <f t="shared" ca="1" si="4"/>
        <v>5.4918080044386107E-2</v>
      </c>
      <c r="F64">
        <f t="shared" ca="1" si="4"/>
        <v>5.4912424025159438E-2</v>
      </c>
      <c r="G64">
        <f t="shared" ca="1" si="4"/>
        <v>5.4895747684685185E-2</v>
      </c>
      <c r="H64">
        <f t="shared" ca="1" si="4"/>
        <v>5.4923093317968401E-2</v>
      </c>
      <c r="I64">
        <f t="shared" ca="1" si="4"/>
        <v>5.4912232031741615E-2</v>
      </c>
      <c r="J64">
        <f t="shared" ca="1" si="3"/>
        <v>5.4902289112365305E-2</v>
      </c>
      <c r="K64">
        <f t="shared" ca="1" si="3"/>
        <v>5.4898845103575289E-2</v>
      </c>
      <c r="L64">
        <f t="shared" ca="1" si="3"/>
        <v>5.4925727497411092E-2</v>
      </c>
      <c r="M64">
        <f t="shared" ca="1" si="3"/>
        <v>5.4922769443028131E-2</v>
      </c>
      <c r="N64">
        <f t="shared" ca="1" si="3"/>
        <v>5.4920342497915588E-2</v>
      </c>
      <c r="O64" s="43"/>
    </row>
    <row r="65" spans="3:15" x14ac:dyDescent="0.2">
      <c r="C65" s="3"/>
      <c r="D65">
        <v>63</v>
      </c>
      <c r="E65">
        <f t="shared" ca="1" si="4"/>
        <v>5.4915948396187408E-2</v>
      </c>
      <c r="F65">
        <f t="shared" ca="1" si="4"/>
        <v>5.4912409391219087E-2</v>
      </c>
      <c r="G65">
        <f t="shared" ca="1" si="4"/>
        <v>5.4894645329139152E-2</v>
      </c>
      <c r="H65">
        <f t="shared" ca="1" si="4"/>
        <v>5.4923717977846467E-2</v>
      </c>
      <c r="I65">
        <f t="shared" ca="1" si="4"/>
        <v>5.4911956680766753E-2</v>
      </c>
      <c r="J65">
        <f t="shared" ca="1" si="3"/>
        <v>5.4902640408580616E-2</v>
      </c>
      <c r="K65">
        <f t="shared" ca="1" si="3"/>
        <v>5.4901768938282199E-2</v>
      </c>
      <c r="L65">
        <f t="shared" ca="1" si="3"/>
        <v>5.4921296648207274E-2</v>
      </c>
      <c r="M65">
        <f t="shared" ca="1" si="3"/>
        <v>5.4924510914972954E-2</v>
      </c>
      <c r="N65">
        <f t="shared" ca="1" si="3"/>
        <v>5.4920859720341109E-2</v>
      </c>
      <c r="O65" s="43"/>
    </row>
    <row r="66" spans="3:15" x14ac:dyDescent="0.2">
      <c r="C66" s="3"/>
      <c r="D66">
        <v>64</v>
      </c>
      <c r="E66">
        <f t="shared" ca="1" si="4"/>
        <v>5.4915725255831355E-2</v>
      </c>
      <c r="F66">
        <f t="shared" ca="1" si="4"/>
        <v>5.4910448593544971E-2</v>
      </c>
      <c r="G66">
        <f t="shared" ca="1" si="4"/>
        <v>5.4892235196428482E-2</v>
      </c>
      <c r="H66">
        <f t="shared" ca="1" si="4"/>
        <v>5.4927469286119801E-2</v>
      </c>
      <c r="I66">
        <f t="shared" ca="1" si="4"/>
        <v>5.4910220231770134E-2</v>
      </c>
      <c r="J66">
        <f t="shared" ca="1" si="3"/>
        <v>5.4899446893046086E-2</v>
      </c>
      <c r="K66">
        <f t="shared" ca="1" si="3"/>
        <v>5.4906221745996547E-2</v>
      </c>
      <c r="L66">
        <f t="shared" ca="1" si="3"/>
        <v>5.4915584824733132E-2</v>
      </c>
      <c r="M66">
        <f t="shared" ca="1" si="3"/>
        <v>5.4925563342945218E-2</v>
      </c>
      <c r="N66">
        <f t="shared" ca="1" si="3"/>
        <v>5.491779224234819E-2</v>
      </c>
      <c r="O66" s="43"/>
    </row>
    <row r="67" spans="3:15" x14ac:dyDescent="0.2">
      <c r="C67" s="3"/>
      <c r="D67">
        <v>65</v>
      </c>
      <c r="E67">
        <f t="shared" ca="1" si="4"/>
        <v>5.4913870993451123E-2</v>
      </c>
      <c r="F67">
        <f t="shared" ca="1" si="4"/>
        <v>5.4913827087096072E-2</v>
      </c>
      <c r="G67">
        <f t="shared" ca="1" si="4"/>
        <v>5.4892434601052059E-2</v>
      </c>
      <c r="H67">
        <f t="shared" ca="1" si="4"/>
        <v>5.4928692048138147E-2</v>
      </c>
      <c r="I67">
        <f t="shared" ca="1" si="4"/>
        <v>5.4911241394554264E-2</v>
      </c>
      <c r="J67">
        <f t="shared" ca="1" si="3"/>
        <v>5.4901327544384648E-2</v>
      </c>
      <c r="K67">
        <f t="shared" ca="1" si="3"/>
        <v>5.4902794684512736E-2</v>
      </c>
      <c r="L67">
        <f t="shared" ca="1" si="3"/>
        <v>5.4912131217281807E-2</v>
      </c>
      <c r="M67">
        <f t="shared" ca="1" si="3"/>
        <v>5.4923071563219641E-2</v>
      </c>
      <c r="N67">
        <f t="shared" ca="1" si="3"/>
        <v>5.4921884126928645E-2</v>
      </c>
      <c r="O67" s="43"/>
    </row>
    <row r="68" spans="3:15" x14ac:dyDescent="0.2">
      <c r="C68" s="3"/>
      <c r="D68">
        <v>66</v>
      </c>
      <c r="E68">
        <f t="shared" ca="1" si="4"/>
        <v>5.4915292732484952E-2</v>
      </c>
      <c r="F68">
        <f t="shared" ca="1" si="4"/>
        <v>5.4916924533249971E-2</v>
      </c>
      <c r="G68">
        <f t="shared" ca="1" si="4"/>
        <v>5.4891910122931736E-2</v>
      </c>
      <c r="H68">
        <f t="shared" ca="1" si="4"/>
        <v>5.492777617038834E-2</v>
      </c>
      <c r="I68">
        <f t="shared" ca="1" si="4"/>
        <v>5.4908949756943111E-2</v>
      </c>
      <c r="J68">
        <f t="shared" ca="1" si="3"/>
        <v>5.4901045427134941E-2</v>
      </c>
      <c r="K68">
        <f t="shared" ca="1" si="3"/>
        <v>5.4903919171844145E-2</v>
      </c>
      <c r="L68">
        <f t="shared" ca="1" si="3"/>
        <v>5.4907579192138241E-2</v>
      </c>
      <c r="M68">
        <f t="shared" ca="1" si="3"/>
        <v>5.4918945802448486E-2</v>
      </c>
      <c r="N68">
        <f t="shared" ca="1" si="3"/>
        <v>5.4920772047422954E-2</v>
      </c>
      <c r="O68" s="43"/>
    </row>
    <row r="69" spans="3:15" x14ac:dyDescent="0.2">
      <c r="C69" s="3"/>
      <c r="D69">
        <v>67</v>
      </c>
      <c r="E69">
        <f t="shared" ca="1" si="4"/>
        <v>5.4911543269423296E-2</v>
      </c>
      <c r="F69">
        <f t="shared" ca="1" si="4"/>
        <v>5.4919248037187528E-2</v>
      </c>
      <c r="G69">
        <f t="shared" ca="1" si="4"/>
        <v>5.4895190530942675E-2</v>
      </c>
      <c r="H69">
        <f t="shared" ca="1" si="4"/>
        <v>5.4921782380168593E-2</v>
      </c>
      <c r="I69">
        <f t="shared" ca="1" si="4"/>
        <v>5.4907419505742218E-2</v>
      </c>
      <c r="J69">
        <f t="shared" ca="1" si="3"/>
        <v>5.490394733741584E-2</v>
      </c>
      <c r="K69">
        <f t="shared" ca="1" si="3"/>
        <v>5.4902969693919751E-2</v>
      </c>
      <c r="L69">
        <f t="shared" ca="1" si="3"/>
        <v>5.4907264397556631E-2</v>
      </c>
      <c r="M69">
        <f t="shared" ca="1" si="3"/>
        <v>5.4916741054877684E-2</v>
      </c>
      <c r="N69">
        <f t="shared" ca="1" si="3"/>
        <v>5.4914592075418663E-2</v>
      </c>
      <c r="O69" s="43"/>
    </row>
    <row r="70" spans="3:15" x14ac:dyDescent="0.2">
      <c r="C70" s="3"/>
      <c r="D70">
        <v>68</v>
      </c>
      <c r="E70">
        <f t="shared" ca="1" si="4"/>
        <v>5.4909982120917286E-2</v>
      </c>
      <c r="F70">
        <f t="shared" ca="1" si="4"/>
        <v>5.4919788440046809E-2</v>
      </c>
      <c r="G70">
        <f t="shared" ca="1" si="4"/>
        <v>5.4898559871926308E-2</v>
      </c>
      <c r="H70">
        <f t="shared" ca="1" si="4"/>
        <v>5.4919267775303711E-2</v>
      </c>
      <c r="I70">
        <f t="shared" ca="1" si="4"/>
        <v>5.4908294619595968E-2</v>
      </c>
      <c r="J70">
        <f t="shared" ca="1" si="3"/>
        <v>5.4900101500782936E-2</v>
      </c>
      <c r="K70">
        <f t="shared" ca="1" si="3"/>
        <v>5.490169626188475E-2</v>
      </c>
      <c r="L70">
        <f t="shared" ca="1" si="3"/>
        <v>5.4909394172015229E-2</v>
      </c>
      <c r="M70">
        <f t="shared" ca="1" si="3"/>
        <v>5.4914501958003265E-2</v>
      </c>
      <c r="N70">
        <f t="shared" ca="1" si="3"/>
        <v>5.4914574612198626E-2</v>
      </c>
      <c r="O70" s="43"/>
    </row>
    <row r="71" spans="3:15" x14ac:dyDescent="0.2">
      <c r="C71" s="3"/>
      <c r="D71">
        <v>69</v>
      </c>
      <c r="E71">
        <f t="shared" ca="1" si="4"/>
        <v>5.4910441949127975E-2</v>
      </c>
      <c r="F71">
        <f t="shared" ca="1" si="4"/>
        <v>5.492087855134635E-2</v>
      </c>
      <c r="G71">
        <f t="shared" ca="1" si="4"/>
        <v>5.489949151936277E-2</v>
      </c>
      <c r="H71">
        <f t="shared" ca="1" si="4"/>
        <v>5.4914721500247482E-2</v>
      </c>
      <c r="I71">
        <f t="shared" ca="1" si="4"/>
        <v>5.4905792158507896E-2</v>
      </c>
      <c r="J71">
        <f t="shared" ca="1" si="3"/>
        <v>5.4900173338142927E-2</v>
      </c>
      <c r="K71">
        <f t="shared" ca="1" si="3"/>
        <v>5.4897122886044654E-2</v>
      </c>
      <c r="L71">
        <f t="shared" ca="1" si="3"/>
        <v>5.4908929318708895E-2</v>
      </c>
      <c r="M71">
        <f t="shared" ca="1" si="3"/>
        <v>5.4912747867554158E-2</v>
      </c>
      <c r="N71">
        <f t="shared" ca="1" si="3"/>
        <v>5.491234888794997E-2</v>
      </c>
      <c r="O71" s="43"/>
    </row>
    <row r="72" spans="3:15" x14ac:dyDescent="0.2">
      <c r="C72" s="3"/>
      <c r="D72">
        <v>70</v>
      </c>
      <c r="E72">
        <f t="shared" ca="1" si="4"/>
        <v>5.4910486875984751E-2</v>
      </c>
      <c r="F72">
        <f t="shared" ca="1" si="4"/>
        <v>5.4921625274264245E-2</v>
      </c>
      <c r="G72">
        <f t="shared" ca="1" si="4"/>
        <v>5.4898779675327247E-2</v>
      </c>
      <c r="H72">
        <f t="shared" ca="1" si="4"/>
        <v>5.4910068550995589E-2</v>
      </c>
      <c r="I72">
        <f t="shared" ca="1" si="4"/>
        <v>5.4905409205360634E-2</v>
      </c>
      <c r="J72">
        <f t="shared" ca="1" si="3"/>
        <v>5.4898146367018411E-2</v>
      </c>
      <c r="K72">
        <f t="shared" ca="1" si="3"/>
        <v>5.4893711462298864E-2</v>
      </c>
      <c r="L72">
        <f t="shared" ca="1" si="3"/>
        <v>5.4905731985987909E-2</v>
      </c>
      <c r="M72">
        <f t="shared" ca="1" si="3"/>
        <v>5.4915847360607985E-2</v>
      </c>
      <c r="N72">
        <f t="shared" ca="1" si="3"/>
        <v>5.4910058641525879E-2</v>
      </c>
      <c r="O72" s="43"/>
    </row>
    <row r="73" spans="3:15" x14ac:dyDescent="0.2">
      <c r="C73" s="3"/>
      <c r="D73">
        <v>71</v>
      </c>
      <c r="E73">
        <f t="shared" ca="1" si="4"/>
        <v>5.4910580516147195E-2</v>
      </c>
      <c r="F73">
        <f t="shared" ca="1" si="4"/>
        <v>5.4923542529809466E-2</v>
      </c>
      <c r="G73">
        <f t="shared" ca="1" si="4"/>
        <v>5.4900782162904685E-2</v>
      </c>
      <c r="H73">
        <f t="shared" ca="1" si="4"/>
        <v>5.4907747937833519E-2</v>
      </c>
      <c r="I73">
        <f t="shared" ca="1" si="4"/>
        <v>5.4906363775359027E-2</v>
      </c>
      <c r="J73">
        <f t="shared" ca="1" si="3"/>
        <v>5.4900562937508952E-2</v>
      </c>
      <c r="K73">
        <f t="shared" ca="1" si="3"/>
        <v>5.4885978860676581E-2</v>
      </c>
      <c r="L73">
        <f t="shared" ca="1" si="3"/>
        <v>5.4905333259434128E-2</v>
      </c>
      <c r="M73">
        <f t="shared" ca="1" si="3"/>
        <v>5.4915696864614554E-2</v>
      </c>
      <c r="N73">
        <f t="shared" ca="1" si="3"/>
        <v>5.4906012574169487E-2</v>
      </c>
      <c r="O73" s="43"/>
    </row>
    <row r="74" spans="3:15" x14ac:dyDescent="0.2">
      <c r="C74" s="3"/>
      <c r="D74">
        <v>72</v>
      </c>
      <c r="E74">
        <f t="shared" ca="1" si="4"/>
        <v>5.491435819596658E-2</v>
      </c>
      <c r="F74">
        <f t="shared" ca="1" si="4"/>
        <v>5.4922462593884912E-2</v>
      </c>
      <c r="G74">
        <f t="shared" ca="1" si="4"/>
        <v>5.4899291970756325E-2</v>
      </c>
      <c r="H74">
        <f t="shared" ca="1" si="4"/>
        <v>5.4903987156255329E-2</v>
      </c>
      <c r="I74">
        <f t="shared" ca="1" si="4"/>
        <v>5.4908132957832798E-2</v>
      </c>
      <c r="J74">
        <f t="shared" ca="1" si="3"/>
        <v>5.4901975805031859E-2</v>
      </c>
      <c r="K74">
        <f t="shared" ca="1" si="3"/>
        <v>5.4886977296377225E-2</v>
      </c>
      <c r="L74">
        <f t="shared" ca="1" si="3"/>
        <v>5.490051784600973E-2</v>
      </c>
      <c r="M74">
        <f t="shared" ca="1" si="3"/>
        <v>5.4915699328021587E-2</v>
      </c>
      <c r="N74">
        <f t="shared" ca="1" si="3"/>
        <v>5.490597188043464E-2</v>
      </c>
      <c r="O74" s="43"/>
    </row>
    <row r="75" spans="3:15" x14ac:dyDescent="0.2">
      <c r="C75" s="3"/>
      <c r="D75">
        <v>73</v>
      </c>
      <c r="E75">
        <f t="shared" ca="1" si="4"/>
        <v>5.4910872278332426E-2</v>
      </c>
      <c r="F75">
        <f t="shared" ca="1" si="4"/>
        <v>5.4921685917818E-2</v>
      </c>
      <c r="G75">
        <f t="shared" ca="1" si="4"/>
        <v>5.4898391808358295E-2</v>
      </c>
      <c r="H75">
        <f t="shared" ca="1" si="4"/>
        <v>5.4903170035323634E-2</v>
      </c>
      <c r="I75">
        <f t="shared" ca="1" si="4"/>
        <v>5.4906859170926747E-2</v>
      </c>
      <c r="J75">
        <f t="shared" ca="1" si="3"/>
        <v>5.4906969476064584E-2</v>
      </c>
      <c r="K75">
        <f t="shared" ca="1" si="3"/>
        <v>5.4884021877443755E-2</v>
      </c>
      <c r="L75">
        <f t="shared" ca="1" si="3"/>
        <v>5.4901780966339582E-2</v>
      </c>
      <c r="M75">
        <f t="shared" ca="1" si="3"/>
        <v>5.4921422551117274E-2</v>
      </c>
      <c r="N75">
        <f t="shared" ca="1" si="3"/>
        <v>5.4907900711197957E-2</v>
      </c>
      <c r="O75" s="43"/>
    </row>
    <row r="76" spans="3:15" x14ac:dyDescent="0.2">
      <c r="C76" s="3"/>
      <c r="D76">
        <v>74</v>
      </c>
      <c r="E76">
        <f t="shared" ca="1" si="4"/>
        <v>5.4913539769628053E-2</v>
      </c>
      <c r="F76">
        <f t="shared" ca="1" si="4"/>
        <v>5.4921564106756436E-2</v>
      </c>
      <c r="G76">
        <f t="shared" ca="1" si="4"/>
        <v>5.490042746652965E-2</v>
      </c>
      <c r="H76">
        <f t="shared" ca="1" si="4"/>
        <v>5.4906008992466886E-2</v>
      </c>
      <c r="I76">
        <f t="shared" ca="1" si="4"/>
        <v>5.491098787089066E-2</v>
      </c>
      <c r="J76">
        <f t="shared" ca="1" si="3"/>
        <v>5.4904599185584997E-2</v>
      </c>
      <c r="K76">
        <f t="shared" ca="1" si="3"/>
        <v>5.4883355643259198E-2</v>
      </c>
      <c r="L76">
        <f t="shared" ca="1" si="3"/>
        <v>5.4902140671892488E-2</v>
      </c>
      <c r="M76">
        <f t="shared" ca="1" si="3"/>
        <v>5.4920789728150406E-2</v>
      </c>
      <c r="N76">
        <f t="shared" ca="1" si="3"/>
        <v>5.490702417148758E-2</v>
      </c>
      <c r="O76" s="43"/>
    </row>
    <row r="77" spans="3:15" x14ac:dyDescent="0.2">
      <c r="C77" s="3"/>
      <c r="D77">
        <v>75</v>
      </c>
      <c r="E77">
        <f t="shared" ca="1" si="4"/>
        <v>5.4908434661889299E-2</v>
      </c>
      <c r="F77">
        <f t="shared" ca="1" si="4"/>
        <v>5.4921675956353243E-2</v>
      </c>
      <c r="G77">
        <f t="shared" ca="1" si="4"/>
        <v>5.4902344328248809E-2</v>
      </c>
      <c r="H77">
        <f t="shared" ca="1" si="4"/>
        <v>5.4908987466947244E-2</v>
      </c>
      <c r="I77">
        <f t="shared" ca="1" si="4"/>
        <v>5.4914758112052604E-2</v>
      </c>
      <c r="J77">
        <f t="shared" ca="1" si="3"/>
        <v>5.4900158877239709E-2</v>
      </c>
      <c r="K77">
        <f t="shared" ca="1" si="3"/>
        <v>5.4884985238899286E-2</v>
      </c>
      <c r="L77">
        <f t="shared" ca="1" si="3"/>
        <v>5.4902187896340646E-2</v>
      </c>
      <c r="M77">
        <f t="shared" ca="1" si="3"/>
        <v>5.4920428608035303E-2</v>
      </c>
      <c r="N77">
        <f t="shared" ca="1" si="3"/>
        <v>5.4905270002242643E-2</v>
      </c>
      <c r="O77" s="43"/>
    </row>
    <row r="78" spans="3:15" x14ac:dyDescent="0.2">
      <c r="C78" s="3"/>
      <c r="D78">
        <v>76</v>
      </c>
      <c r="E78">
        <f t="shared" ca="1" si="4"/>
        <v>5.4907639056202974E-2</v>
      </c>
      <c r="F78">
        <f t="shared" ca="1" si="4"/>
        <v>5.4918077905400563E-2</v>
      </c>
      <c r="G78">
        <f t="shared" ca="1" si="4"/>
        <v>5.4905063598522701E-2</v>
      </c>
      <c r="H78">
        <f t="shared" ca="1" si="4"/>
        <v>5.4905928121849135E-2</v>
      </c>
      <c r="I78">
        <f t="shared" ca="1" si="4"/>
        <v>5.4913448975621837E-2</v>
      </c>
      <c r="J78">
        <f t="shared" ca="1" si="3"/>
        <v>5.4903213999457703E-2</v>
      </c>
      <c r="K78">
        <f t="shared" ca="1" si="3"/>
        <v>5.4888511570012774E-2</v>
      </c>
      <c r="L78">
        <f t="shared" ca="1" si="3"/>
        <v>5.4901617854062931E-2</v>
      </c>
      <c r="M78">
        <f t="shared" ca="1" si="3"/>
        <v>5.4916914739938517E-2</v>
      </c>
      <c r="N78">
        <f t="shared" ca="1" si="3"/>
        <v>5.4903211707304514E-2</v>
      </c>
      <c r="O78" s="43"/>
    </row>
    <row r="79" spans="3:15" x14ac:dyDescent="0.2">
      <c r="C79" s="3"/>
      <c r="D79">
        <v>77</v>
      </c>
      <c r="E79">
        <f t="shared" ca="1" si="4"/>
        <v>5.4909942037333709E-2</v>
      </c>
      <c r="F79">
        <f t="shared" ca="1" si="4"/>
        <v>5.4919648333152139E-2</v>
      </c>
      <c r="G79">
        <f t="shared" ca="1" si="4"/>
        <v>5.4906936145761982E-2</v>
      </c>
      <c r="H79">
        <f t="shared" ca="1" si="4"/>
        <v>5.4910849969508957E-2</v>
      </c>
      <c r="I79">
        <f t="shared" ca="1" si="4"/>
        <v>5.4914468495857807E-2</v>
      </c>
      <c r="J79">
        <f t="shared" ca="1" si="3"/>
        <v>5.4904631377962233E-2</v>
      </c>
      <c r="K79">
        <f t="shared" ca="1" si="3"/>
        <v>5.4889367649024863E-2</v>
      </c>
      <c r="L79">
        <f t="shared" ca="1" si="3"/>
        <v>5.4905667839820697E-2</v>
      </c>
      <c r="M79">
        <f t="shared" ca="1" si="3"/>
        <v>5.4917226111989882E-2</v>
      </c>
      <c r="N79">
        <f t="shared" ca="1" si="3"/>
        <v>5.4904901634613659E-2</v>
      </c>
      <c r="O79" s="43"/>
    </row>
    <row r="80" spans="3:15" x14ac:dyDescent="0.2">
      <c r="C80" s="3"/>
      <c r="D80">
        <v>78</v>
      </c>
      <c r="E80">
        <f t="shared" ca="1" si="4"/>
        <v>5.49101152715799E-2</v>
      </c>
      <c r="F80">
        <f t="shared" ca="1" si="4"/>
        <v>5.4919644513664677E-2</v>
      </c>
      <c r="G80">
        <f t="shared" ca="1" si="4"/>
        <v>5.4904199734271415E-2</v>
      </c>
      <c r="H80">
        <f t="shared" ca="1" si="4"/>
        <v>5.491187031354379E-2</v>
      </c>
      <c r="I80">
        <f t="shared" ca="1" si="4"/>
        <v>5.4911979485296809E-2</v>
      </c>
      <c r="J80">
        <f t="shared" ref="J80:N130" ca="1" si="5">$B$1*($B$2-J79)*$B$6+$B$3*SQRT(J79)*SQRT($B$6)*_xlfn.NORM.S.INV(RAND())+J79</f>
        <v>5.4906113497162345E-2</v>
      </c>
      <c r="K80">
        <f t="shared" ca="1" si="5"/>
        <v>5.4887505543260981E-2</v>
      </c>
      <c r="L80">
        <f t="shared" ca="1" si="5"/>
        <v>5.4903120542819199E-2</v>
      </c>
      <c r="M80">
        <f t="shared" ca="1" si="5"/>
        <v>5.4916704142778709E-2</v>
      </c>
      <c r="N80">
        <f t="shared" ca="1" si="5"/>
        <v>5.4906962606166905E-2</v>
      </c>
      <c r="O80" s="43"/>
    </row>
    <row r="81" spans="3:15" x14ac:dyDescent="0.2">
      <c r="C81" s="3"/>
      <c r="D81">
        <v>79</v>
      </c>
      <c r="E81">
        <f t="shared" ref="E81:I131" ca="1" si="6">$B$1*($B$2-E80)*$B$6+$B$3*SQRT(E80)*SQRT($B$6)*_xlfn.NORM.S.INV(RAND())+E80</f>
        <v>5.4909099604804876E-2</v>
      </c>
      <c r="F81">
        <f t="shared" ca="1" si="6"/>
        <v>5.4919580808380254E-2</v>
      </c>
      <c r="G81">
        <f t="shared" ca="1" si="6"/>
        <v>5.4905192865121175E-2</v>
      </c>
      <c r="H81">
        <f t="shared" ca="1" si="6"/>
        <v>5.4909967540106429E-2</v>
      </c>
      <c r="I81">
        <f t="shared" ca="1" si="6"/>
        <v>5.4909298153967348E-2</v>
      </c>
      <c r="J81">
        <f t="shared" ca="1" si="5"/>
        <v>5.4907058720740219E-2</v>
      </c>
      <c r="K81">
        <f t="shared" ca="1" si="5"/>
        <v>5.4885620537529059E-2</v>
      </c>
      <c r="L81">
        <f t="shared" ca="1" si="5"/>
        <v>5.4900243796318547E-2</v>
      </c>
      <c r="M81">
        <f t="shared" ca="1" si="5"/>
        <v>5.4912934764904303E-2</v>
      </c>
      <c r="N81">
        <f t="shared" ca="1" si="5"/>
        <v>5.4908169796546766E-2</v>
      </c>
      <c r="O81" s="43"/>
    </row>
    <row r="82" spans="3:15" x14ac:dyDescent="0.2">
      <c r="C82" s="3"/>
      <c r="D82">
        <v>80</v>
      </c>
      <c r="E82">
        <f t="shared" ca="1" si="6"/>
        <v>5.4904211404195956E-2</v>
      </c>
      <c r="F82">
        <f t="shared" ca="1" si="6"/>
        <v>5.4917152864164286E-2</v>
      </c>
      <c r="G82">
        <f t="shared" ca="1" si="6"/>
        <v>5.491088693003579E-2</v>
      </c>
      <c r="H82">
        <f t="shared" ca="1" si="6"/>
        <v>5.4909687127210879E-2</v>
      </c>
      <c r="I82">
        <f t="shared" ca="1" si="6"/>
        <v>5.4908046855074485E-2</v>
      </c>
      <c r="J82">
        <f t="shared" ca="1" si="5"/>
        <v>5.4908439972127646E-2</v>
      </c>
      <c r="K82">
        <f t="shared" ca="1" si="5"/>
        <v>5.4888159639386057E-2</v>
      </c>
      <c r="L82">
        <f t="shared" ca="1" si="5"/>
        <v>5.4899106978840206E-2</v>
      </c>
      <c r="M82">
        <f t="shared" ca="1" si="5"/>
        <v>5.4910934586297741E-2</v>
      </c>
      <c r="N82">
        <f t="shared" ca="1" si="5"/>
        <v>5.4902439801752911E-2</v>
      </c>
      <c r="O82" s="43"/>
    </row>
    <row r="83" spans="3:15" x14ac:dyDescent="0.2">
      <c r="C83" s="3"/>
      <c r="D83">
        <v>81</v>
      </c>
      <c r="E83">
        <f t="shared" ca="1" si="6"/>
        <v>5.4901625106301546E-2</v>
      </c>
      <c r="F83">
        <f t="shared" ca="1" si="6"/>
        <v>5.4917840624936702E-2</v>
      </c>
      <c r="G83">
        <f t="shared" ca="1" si="6"/>
        <v>5.4911286458001383E-2</v>
      </c>
      <c r="H83">
        <f t="shared" ca="1" si="6"/>
        <v>5.4905251738186937E-2</v>
      </c>
      <c r="I83">
        <f t="shared" ca="1" si="6"/>
        <v>5.4914086739791305E-2</v>
      </c>
      <c r="J83">
        <f t="shared" ca="1" si="5"/>
        <v>5.4907413499951173E-2</v>
      </c>
      <c r="K83">
        <f t="shared" ca="1" si="5"/>
        <v>5.4890618759435045E-2</v>
      </c>
      <c r="L83">
        <f t="shared" ca="1" si="5"/>
        <v>5.4898748981772084E-2</v>
      </c>
      <c r="M83">
        <f t="shared" ca="1" si="5"/>
        <v>5.4911811677927934E-2</v>
      </c>
      <c r="N83">
        <f t="shared" ca="1" si="5"/>
        <v>5.4898409594832623E-2</v>
      </c>
      <c r="O83" s="43"/>
    </row>
    <row r="84" spans="3:15" x14ac:dyDescent="0.2">
      <c r="C84" s="3"/>
      <c r="D84">
        <v>82</v>
      </c>
      <c r="E84">
        <f t="shared" ca="1" si="6"/>
        <v>5.49002578107727E-2</v>
      </c>
      <c r="F84">
        <f t="shared" ca="1" si="6"/>
        <v>5.4914492688853456E-2</v>
      </c>
      <c r="G84">
        <f t="shared" ca="1" si="6"/>
        <v>5.4913523703061635E-2</v>
      </c>
      <c r="H84">
        <f t="shared" ca="1" si="6"/>
        <v>5.4904710403187749E-2</v>
      </c>
      <c r="I84">
        <f t="shared" ca="1" si="6"/>
        <v>5.490934995659167E-2</v>
      </c>
      <c r="J84">
        <f t="shared" ca="1" si="5"/>
        <v>5.491077550151148E-2</v>
      </c>
      <c r="K84">
        <f t="shared" ca="1" si="5"/>
        <v>5.4897379556660138E-2</v>
      </c>
      <c r="L84">
        <f t="shared" ca="1" si="5"/>
        <v>5.4899769767591498E-2</v>
      </c>
      <c r="M84">
        <f t="shared" ca="1" si="5"/>
        <v>5.4914385362120594E-2</v>
      </c>
      <c r="N84">
        <f t="shared" ca="1" si="5"/>
        <v>5.4900576924126962E-2</v>
      </c>
      <c r="O84" s="43"/>
    </row>
    <row r="85" spans="3:15" x14ac:dyDescent="0.2">
      <c r="C85" s="3"/>
      <c r="D85">
        <v>83</v>
      </c>
      <c r="E85">
        <f t="shared" ca="1" si="6"/>
        <v>5.4897850376907129E-2</v>
      </c>
      <c r="F85">
        <f t="shared" ca="1" si="6"/>
        <v>5.4914963421899353E-2</v>
      </c>
      <c r="G85">
        <f t="shared" ca="1" si="6"/>
        <v>5.4915427849134592E-2</v>
      </c>
      <c r="H85">
        <f t="shared" ca="1" si="6"/>
        <v>5.490509836465652E-2</v>
      </c>
      <c r="I85">
        <f t="shared" ca="1" si="6"/>
        <v>5.4910437017217581E-2</v>
      </c>
      <c r="J85">
        <f t="shared" ca="1" si="5"/>
        <v>5.4910153142657431E-2</v>
      </c>
      <c r="K85">
        <f t="shared" ca="1" si="5"/>
        <v>5.4896781058948171E-2</v>
      </c>
      <c r="L85">
        <f t="shared" ca="1" si="5"/>
        <v>5.4901517481605482E-2</v>
      </c>
      <c r="M85">
        <f t="shared" ca="1" si="5"/>
        <v>5.4914307968786873E-2</v>
      </c>
      <c r="N85">
        <f t="shared" ca="1" si="5"/>
        <v>5.4900326983751149E-2</v>
      </c>
      <c r="O85" s="43"/>
    </row>
    <row r="86" spans="3:15" x14ac:dyDescent="0.2">
      <c r="C86" s="3"/>
      <c r="D86">
        <v>84</v>
      </c>
      <c r="E86">
        <f t="shared" ca="1" si="6"/>
        <v>5.4899700712468254E-2</v>
      </c>
      <c r="F86">
        <f t="shared" ca="1" si="6"/>
        <v>5.4911008473737526E-2</v>
      </c>
      <c r="G86">
        <f t="shared" ca="1" si="6"/>
        <v>5.4912583288436477E-2</v>
      </c>
      <c r="H86">
        <f t="shared" ca="1" si="6"/>
        <v>5.4904979583259392E-2</v>
      </c>
      <c r="I86">
        <f t="shared" ca="1" si="6"/>
        <v>5.4908000265887789E-2</v>
      </c>
      <c r="J86">
        <f t="shared" ca="1" si="5"/>
        <v>5.4911501002919062E-2</v>
      </c>
      <c r="K86">
        <f t="shared" ca="1" si="5"/>
        <v>5.4893174127737872E-2</v>
      </c>
      <c r="L86">
        <f t="shared" ca="1" si="5"/>
        <v>5.4902357467283516E-2</v>
      </c>
      <c r="M86">
        <f t="shared" ca="1" si="5"/>
        <v>5.4915434528221972E-2</v>
      </c>
      <c r="N86">
        <f t="shared" ca="1" si="5"/>
        <v>5.4902188362755504E-2</v>
      </c>
      <c r="O86" s="43"/>
    </row>
    <row r="87" spans="3:15" x14ac:dyDescent="0.2">
      <c r="C87" s="3"/>
      <c r="D87">
        <v>85</v>
      </c>
      <c r="E87">
        <f t="shared" ca="1" si="6"/>
        <v>5.4895689251427321E-2</v>
      </c>
      <c r="F87">
        <f t="shared" ca="1" si="6"/>
        <v>5.4912417468003738E-2</v>
      </c>
      <c r="G87">
        <f t="shared" ca="1" si="6"/>
        <v>5.4913671206043742E-2</v>
      </c>
      <c r="H87">
        <f t="shared" ca="1" si="6"/>
        <v>5.4904694412645644E-2</v>
      </c>
      <c r="I87">
        <f t="shared" ca="1" si="6"/>
        <v>5.4907251740426335E-2</v>
      </c>
      <c r="J87">
        <f t="shared" ca="1" si="5"/>
        <v>5.4906130295645873E-2</v>
      </c>
      <c r="K87">
        <f t="shared" ca="1" si="5"/>
        <v>5.489224646894561E-2</v>
      </c>
      <c r="L87">
        <f t="shared" ca="1" si="5"/>
        <v>5.4905198265346046E-2</v>
      </c>
      <c r="M87">
        <f t="shared" ca="1" si="5"/>
        <v>5.491346321915893E-2</v>
      </c>
      <c r="N87">
        <f t="shared" ca="1" si="5"/>
        <v>5.4901848788299137E-2</v>
      </c>
      <c r="O87" s="43"/>
    </row>
    <row r="88" spans="3:15" x14ac:dyDescent="0.2">
      <c r="C88" s="3"/>
      <c r="D88">
        <v>86</v>
      </c>
      <c r="E88">
        <f t="shared" ca="1" si="6"/>
        <v>5.4899479405051049E-2</v>
      </c>
      <c r="F88">
        <f t="shared" ca="1" si="6"/>
        <v>5.4910000016630933E-2</v>
      </c>
      <c r="G88">
        <f t="shared" ca="1" si="6"/>
        <v>5.4912531670740949E-2</v>
      </c>
      <c r="H88">
        <f t="shared" ca="1" si="6"/>
        <v>5.4906528715878318E-2</v>
      </c>
      <c r="I88">
        <f t="shared" ca="1" si="6"/>
        <v>5.4904209573313496E-2</v>
      </c>
      <c r="J88">
        <f t="shared" ca="1" si="5"/>
        <v>5.4907384570983542E-2</v>
      </c>
      <c r="K88">
        <f t="shared" ca="1" si="5"/>
        <v>5.4894422437569312E-2</v>
      </c>
      <c r="L88">
        <f t="shared" ca="1" si="5"/>
        <v>5.490353391605611E-2</v>
      </c>
      <c r="M88">
        <f t="shared" ca="1" si="5"/>
        <v>5.4910813756162635E-2</v>
      </c>
      <c r="N88">
        <f t="shared" ca="1" si="5"/>
        <v>5.4901824878450869E-2</v>
      </c>
      <c r="O88" s="43"/>
    </row>
    <row r="89" spans="3:15" x14ac:dyDescent="0.2">
      <c r="C89" s="3"/>
      <c r="D89">
        <v>87</v>
      </c>
      <c r="E89">
        <f t="shared" ca="1" si="6"/>
        <v>5.4900335024175448E-2</v>
      </c>
      <c r="F89">
        <f t="shared" ca="1" si="6"/>
        <v>5.4913482418907117E-2</v>
      </c>
      <c r="G89">
        <f t="shared" ca="1" si="6"/>
        <v>5.4911611824191686E-2</v>
      </c>
      <c r="H89">
        <f t="shared" ca="1" si="6"/>
        <v>5.4903754230184086E-2</v>
      </c>
      <c r="I89">
        <f t="shared" ca="1" si="6"/>
        <v>5.4899848170686279E-2</v>
      </c>
      <c r="J89">
        <f t="shared" ca="1" si="5"/>
        <v>5.4901647798935811E-2</v>
      </c>
      <c r="K89">
        <f t="shared" ca="1" si="5"/>
        <v>5.4897769974334903E-2</v>
      </c>
      <c r="L89">
        <f t="shared" ca="1" si="5"/>
        <v>5.4898104894562164E-2</v>
      </c>
      <c r="M89">
        <f t="shared" ca="1" si="5"/>
        <v>5.4907649457748522E-2</v>
      </c>
      <c r="N89">
        <f t="shared" ca="1" si="5"/>
        <v>5.4901952977147651E-2</v>
      </c>
      <c r="O89" s="43"/>
    </row>
    <row r="90" spans="3:15" x14ac:dyDescent="0.2">
      <c r="C90" s="3"/>
      <c r="D90">
        <v>88</v>
      </c>
      <c r="E90">
        <f t="shared" ca="1" si="6"/>
        <v>5.4897934244728483E-2</v>
      </c>
      <c r="F90">
        <f t="shared" ca="1" si="6"/>
        <v>5.4914470862882085E-2</v>
      </c>
      <c r="G90">
        <f t="shared" ca="1" si="6"/>
        <v>5.4913696977693306E-2</v>
      </c>
      <c r="H90">
        <f t="shared" ca="1" si="6"/>
        <v>5.4899991084406005E-2</v>
      </c>
      <c r="I90">
        <f t="shared" ca="1" si="6"/>
        <v>5.4901571515711546E-2</v>
      </c>
      <c r="J90">
        <f t="shared" ca="1" si="5"/>
        <v>5.4905475751675377E-2</v>
      </c>
      <c r="K90">
        <f t="shared" ca="1" si="5"/>
        <v>5.4896242025810837E-2</v>
      </c>
      <c r="L90">
        <f t="shared" ca="1" si="5"/>
        <v>5.4900911805452327E-2</v>
      </c>
      <c r="M90">
        <f t="shared" ca="1" si="5"/>
        <v>5.4904214245288338E-2</v>
      </c>
      <c r="N90">
        <f t="shared" ca="1" si="5"/>
        <v>5.4896977447168718E-2</v>
      </c>
      <c r="O90" s="43"/>
    </row>
    <row r="91" spans="3:15" x14ac:dyDescent="0.2">
      <c r="C91" s="3"/>
      <c r="D91">
        <v>89</v>
      </c>
      <c r="E91">
        <f t="shared" ca="1" si="6"/>
        <v>5.4898924010509866E-2</v>
      </c>
      <c r="F91">
        <f t="shared" ca="1" si="6"/>
        <v>5.4916268270390957E-2</v>
      </c>
      <c r="G91">
        <f t="shared" ca="1" si="6"/>
        <v>5.4915489092168632E-2</v>
      </c>
      <c r="H91">
        <f t="shared" ca="1" si="6"/>
        <v>5.4899006464906738E-2</v>
      </c>
      <c r="I91">
        <f t="shared" ca="1" si="6"/>
        <v>5.4904364929133448E-2</v>
      </c>
      <c r="J91">
        <f t="shared" ca="1" si="5"/>
        <v>5.4909944489152103E-2</v>
      </c>
      <c r="K91">
        <f t="shared" ca="1" si="5"/>
        <v>5.4890261143484144E-2</v>
      </c>
      <c r="L91">
        <f t="shared" ca="1" si="5"/>
        <v>5.4900739003206342E-2</v>
      </c>
      <c r="M91">
        <f t="shared" ca="1" si="5"/>
        <v>5.4904880680092832E-2</v>
      </c>
      <c r="N91">
        <f t="shared" ca="1" si="5"/>
        <v>5.4896861896903661E-2</v>
      </c>
      <c r="O91" s="43"/>
    </row>
    <row r="92" spans="3:15" x14ac:dyDescent="0.2">
      <c r="C92" s="3"/>
      <c r="D92">
        <v>90</v>
      </c>
      <c r="E92">
        <f t="shared" ca="1" si="6"/>
        <v>5.4899144450823271E-2</v>
      </c>
      <c r="F92">
        <f t="shared" ca="1" si="6"/>
        <v>5.4913131500169299E-2</v>
      </c>
      <c r="G92">
        <f t="shared" ca="1" si="6"/>
        <v>5.4915003716311139E-2</v>
      </c>
      <c r="H92">
        <f t="shared" ca="1" si="6"/>
        <v>5.4898229135337789E-2</v>
      </c>
      <c r="I92">
        <f t="shared" ca="1" si="6"/>
        <v>5.4900998903776102E-2</v>
      </c>
      <c r="J92">
        <f t="shared" ca="1" si="5"/>
        <v>5.4908522332735119E-2</v>
      </c>
      <c r="K92">
        <f t="shared" ca="1" si="5"/>
        <v>5.4888286774424637E-2</v>
      </c>
      <c r="L92">
        <f t="shared" ca="1" si="5"/>
        <v>5.4900715128420555E-2</v>
      </c>
      <c r="M92">
        <f t="shared" ca="1" si="5"/>
        <v>5.4904414903781777E-2</v>
      </c>
      <c r="N92">
        <f t="shared" ca="1" si="5"/>
        <v>5.4890781743761718E-2</v>
      </c>
      <c r="O92" s="43"/>
    </row>
    <row r="93" spans="3:15" x14ac:dyDescent="0.2">
      <c r="C93" s="3"/>
      <c r="D93">
        <v>91</v>
      </c>
      <c r="E93">
        <f t="shared" ca="1" si="6"/>
        <v>5.4896153422704617E-2</v>
      </c>
      <c r="F93">
        <f t="shared" ca="1" si="6"/>
        <v>5.4917823434609173E-2</v>
      </c>
      <c r="G93">
        <f t="shared" ca="1" si="6"/>
        <v>5.4917042220965377E-2</v>
      </c>
      <c r="H93">
        <f t="shared" ca="1" si="6"/>
        <v>5.4895918264580477E-2</v>
      </c>
      <c r="I93">
        <f t="shared" ca="1" si="6"/>
        <v>5.4902596260344348E-2</v>
      </c>
      <c r="J93">
        <f t="shared" ca="1" si="5"/>
        <v>5.4906058342318896E-2</v>
      </c>
      <c r="K93">
        <f t="shared" ca="1" si="5"/>
        <v>5.4887466317052429E-2</v>
      </c>
      <c r="L93">
        <f t="shared" ca="1" si="5"/>
        <v>5.4899750980837832E-2</v>
      </c>
      <c r="M93">
        <f t="shared" ca="1" si="5"/>
        <v>5.4905496025431558E-2</v>
      </c>
      <c r="N93">
        <f t="shared" ca="1" si="5"/>
        <v>5.4891530253244565E-2</v>
      </c>
      <c r="O93" s="43"/>
    </row>
    <row r="94" spans="3:15" x14ac:dyDescent="0.2">
      <c r="C94" s="3"/>
      <c r="D94">
        <v>92</v>
      </c>
      <c r="E94">
        <f t="shared" ca="1" si="6"/>
        <v>5.4897069213992976E-2</v>
      </c>
      <c r="F94">
        <f t="shared" ca="1" si="6"/>
        <v>5.4921093245466658E-2</v>
      </c>
      <c r="G94">
        <f t="shared" ca="1" si="6"/>
        <v>5.4914830462567718E-2</v>
      </c>
      <c r="H94">
        <f t="shared" ca="1" si="6"/>
        <v>5.489252242314209E-2</v>
      </c>
      <c r="I94">
        <f t="shared" ca="1" si="6"/>
        <v>5.4899155199052897E-2</v>
      </c>
      <c r="J94">
        <f t="shared" ca="1" si="5"/>
        <v>5.4907457171246274E-2</v>
      </c>
      <c r="K94">
        <f t="shared" ca="1" si="5"/>
        <v>5.4887280286696163E-2</v>
      </c>
      <c r="L94">
        <f t="shared" ca="1" si="5"/>
        <v>5.4895703128997726E-2</v>
      </c>
      <c r="M94">
        <f t="shared" ca="1" si="5"/>
        <v>5.4909483626798893E-2</v>
      </c>
      <c r="N94">
        <f t="shared" ca="1" si="5"/>
        <v>5.4896351242385663E-2</v>
      </c>
      <c r="O94" s="43"/>
    </row>
    <row r="95" spans="3:15" x14ac:dyDescent="0.2">
      <c r="C95" s="3"/>
      <c r="D95">
        <v>93</v>
      </c>
      <c r="E95">
        <f t="shared" ca="1" si="6"/>
        <v>5.48990837591459E-2</v>
      </c>
      <c r="F95">
        <f t="shared" ca="1" si="6"/>
        <v>5.4922932188219732E-2</v>
      </c>
      <c r="G95">
        <f t="shared" ca="1" si="6"/>
        <v>5.4913018138777546E-2</v>
      </c>
      <c r="H95">
        <f t="shared" ca="1" si="6"/>
        <v>5.488950204226252E-2</v>
      </c>
      <c r="I95">
        <f t="shared" ca="1" si="6"/>
        <v>5.4896726837448041E-2</v>
      </c>
      <c r="J95">
        <f t="shared" ca="1" si="5"/>
        <v>5.491082868824769E-2</v>
      </c>
      <c r="K95">
        <f t="shared" ca="1" si="5"/>
        <v>5.4886190034488254E-2</v>
      </c>
      <c r="L95">
        <f t="shared" ca="1" si="5"/>
        <v>5.4894216983067748E-2</v>
      </c>
      <c r="M95">
        <f t="shared" ca="1" si="5"/>
        <v>5.4910717163961384E-2</v>
      </c>
      <c r="N95">
        <f t="shared" ca="1" si="5"/>
        <v>5.4900015182836832E-2</v>
      </c>
      <c r="O95" s="43"/>
    </row>
    <row r="96" spans="3:15" x14ac:dyDescent="0.2">
      <c r="C96" s="3"/>
      <c r="D96">
        <v>94</v>
      </c>
      <c r="E96">
        <f t="shared" ca="1" si="6"/>
        <v>5.4897713428761992E-2</v>
      </c>
      <c r="F96">
        <f t="shared" ca="1" si="6"/>
        <v>5.4923188574305983E-2</v>
      </c>
      <c r="G96">
        <f t="shared" ca="1" si="6"/>
        <v>5.4915913472582213E-2</v>
      </c>
      <c r="H96">
        <f t="shared" ca="1" si="6"/>
        <v>5.4890612528542305E-2</v>
      </c>
      <c r="I96">
        <f t="shared" ca="1" si="6"/>
        <v>5.4899127052407737E-2</v>
      </c>
      <c r="J96">
        <f t="shared" ca="1" si="5"/>
        <v>5.4909202600413709E-2</v>
      </c>
      <c r="K96">
        <f t="shared" ca="1" si="5"/>
        <v>5.4885069318343284E-2</v>
      </c>
      <c r="L96">
        <f t="shared" ca="1" si="5"/>
        <v>5.4894185010942606E-2</v>
      </c>
      <c r="M96">
        <f t="shared" ca="1" si="5"/>
        <v>5.4915995802209343E-2</v>
      </c>
      <c r="N96">
        <f t="shared" ca="1" si="5"/>
        <v>5.4890556684169589E-2</v>
      </c>
      <c r="O96" s="43"/>
    </row>
    <row r="97" spans="3:15" x14ac:dyDescent="0.2">
      <c r="C97" s="3"/>
      <c r="D97">
        <v>95</v>
      </c>
      <c r="E97">
        <f t="shared" ca="1" si="6"/>
        <v>5.4894826306121552E-2</v>
      </c>
      <c r="F97">
        <f t="shared" ca="1" si="6"/>
        <v>5.4922462698475907E-2</v>
      </c>
      <c r="G97">
        <f t="shared" ca="1" si="6"/>
        <v>5.4909216367157496E-2</v>
      </c>
      <c r="H97">
        <f t="shared" ca="1" si="6"/>
        <v>5.488933980702785E-2</v>
      </c>
      <c r="I97">
        <f t="shared" ca="1" si="6"/>
        <v>5.4901500862573269E-2</v>
      </c>
      <c r="J97">
        <f t="shared" ca="1" si="5"/>
        <v>5.490904710018283E-2</v>
      </c>
      <c r="K97">
        <f t="shared" ca="1" si="5"/>
        <v>5.4881444400884771E-2</v>
      </c>
      <c r="L97">
        <f t="shared" ca="1" si="5"/>
        <v>5.4895081633177099E-2</v>
      </c>
      <c r="M97">
        <f t="shared" ca="1" si="5"/>
        <v>5.4915587211197721E-2</v>
      </c>
      <c r="N97">
        <f t="shared" ca="1" si="5"/>
        <v>5.4890144441582814E-2</v>
      </c>
      <c r="O97" s="43"/>
    </row>
    <row r="98" spans="3:15" x14ac:dyDescent="0.2">
      <c r="C98" s="3"/>
      <c r="D98">
        <v>96</v>
      </c>
      <c r="E98">
        <f t="shared" ca="1" si="6"/>
        <v>5.4896209429196499E-2</v>
      </c>
      <c r="F98">
        <f t="shared" ca="1" si="6"/>
        <v>5.4924044503204615E-2</v>
      </c>
      <c r="G98">
        <f t="shared" ca="1" si="6"/>
        <v>5.4908398371314143E-2</v>
      </c>
      <c r="H98">
        <f t="shared" ca="1" si="6"/>
        <v>5.4890642538428548E-2</v>
      </c>
      <c r="I98">
        <f t="shared" ca="1" si="6"/>
        <v>5.4901828636473672E-2</v>
      </c>
      <c r="J98">
        <f t="shared" ca="1" si="5"/>
        <v>5.4906954766470194E-2</v>
      </c>
      <c r="K98">
        <f t="shared" ca="1" si="5"/>
        <v>5.4887237107705371E-2</v>
      </c>
      <c r="L98">
        <f t="shared" ca="1" si="5"/>
        <v>5.4890874533585689E-2</v>
      </c>
      <c r="M98">
        <f t="shared" ca="1" si="5"/>
        <v>5.491656779664366E-2</v>
      </c>
      <c r="N98">
        <f t="shared" ca="1" si="5"/>
        <v>5.4887157859079924E-2</v>
      </c>
      <c r="O98" s="43"/>
    </row>
    <row r="99" spans="3:15" x14ac:dyDescent="0.2">
      <c r="C99" s="3"/>
      <c r="D99">
        <v>97</v>
      </c>
      <c r="E99">
        <f t="shared" ca="1" si="6"/>
        <v>5.489525449083741E-2</v>
      </c>
      <c r="F99">
        <f t="shared" ca="1" si="6"/>
        <v>5.4923598065666733E-2</v>
      </c>
      <c r="G99">
        <f t="shared" ca="1" si="6"/>
        <v>5.4910336479656194E-2</v>
      </c>
      <c r="H99">
        <f t="shared" ca="1" si="6"/>
        <v>5.4891820271613601E-2</v>
      </c>
      <c r="I99">
        <f t="shared" ca="1" si="6"/>
        <v>5.4901371616656411E-2</v>
      </c>
      <c r="J99">
        <f t="shared" ca="1" si="5"/>
        <v>5.4906428935132132E-2</v>
      </c>
      <c r="K99">
        <f t="shared" ca="1" si="5"/>
        <v>5.4885762842587719E-2</v>
      </c>
      <c r="L99">
        <f t="shared" ca="1" si="5"/>
        <v>5.48904756126877E-2</v>
      </c>
      <c r="M99">
        <f t="shared" ca="1" si="5"/>
        <v>5.4914932065368592E-2</v>
      </c>
      <c r="N99">
        <f t="shared" ca="1" si="5"/>
        <v>5.4888670999938695E-2</v>
      </c>
      <c r="O99" s="43"/>
    </row>
    <row r="100" spans="3:15" x14ac:dyDescent="0.2">
      <c r="C100" s="3"/>
      <c r="D100">
        <v>98</v>
      </c>
      <c r="E100">
        <f t="shared" ca="1" si="6"/>
        <v>5.4899945841663425E-2</v>
      </c>
      <c r="F100">
        <f t="shared" ca="1" si="6"/>
        <v>5.4923363222600684E-2</v>
      </c>
      <c r="G100">
        <f t="shared" ca="1" si="6"/>
        <v>5.4905873480916259E-2</v>
      </c>
      <c r="H100">
        <f t="shared" ca="1" si="6"/>
        <v>5.4890815280145638E-2</v>
      </c>
      <c r="I100">
        <f t="shared" ca="1" si="6"/>
        <v>5.4900360142778284E-2</v>
      </c>
      <c r="J100">
        <f t="shared" ca="1" si="5"/>
        <v>5.4906518704896705E-2</v>
      </c>
      <c r="K100">
        <f t="shared" ca="1" si="5"/>
        <v>5.4884696295594532E-2</v>
      </c>
      <c r="L100">
        <f t="shared" ca="1" si="5"/>
        <v>5.4890444057055024E-2</v>
      </c>
      <c r="M100">
        <f t="shared" ca="1" si="5"/>
        <v>5.4917675736247305E-2</v>
      </c>
      <c r="N100">
        <f t="shared" ca="1" si="5"/>
        <v>5.4886752081144456E-2</v>
      </c>
      <c r="O100" s="43"/>
    </row>
    <row r="101" spans="3:15" x14ac:dyDescent="0.2">
      <c r="C101" s="3"/>
      <c r="D101">
        <v>99</v>
      </c>
      <c r="E101">
        <f t="shared" ca="1" si="6"/>
        <v>5.4904077451968965E-2</v>
      </c>
      <c r="F101">
        <f t="shared" ca="1" si="6"/>
        <v>5.4918869978715708E-2</v>
      </c>
      <c r="G101">
        <f t="shared" ca="1" si="6"/>
        <v>5.4905933797527673E-2</v>
      </c>
      <c r="H101">
        <f t="shared" ca="1" si="6"/>
        <v>5.489680598334875E-2</v>
      </c>
      <c r="I101">
        <f t="shared" ca="1" si="6"/>
        <v>5.4898659026659122E-2</v>
      </c>
      <c r="J101">
        <f t="shared" ca="1" si="5"/>
        <v>5.4904158324435834E-2</v>
      </c>
      <c r="K101">
        <f t="shared" ca="1" si="5"/>
        <v>5.4882733127237703E-2</v>
      </c>
      <c r="L101">
        <f t="shared" ca="1" si="5"/>
        <v>5.4890964499178067E-2</v>
      </c>
      <c r="M101">
        <f t="shared" ca="1" si="5"/>
        <v>5.491777522673795E-2</v>
      </c>
      <c r="N101">
        <f t="shared" ca="1" si="5"/>
        <v>5.4892114332934817E-2</v>
      </c>
      <c r="O101" s="43"/>
    </row>
    <row r="102" spans="3:15" x14ac:dyDescent="0.2">
      <c r="C102" s="3"/>
      <c r="D102">
        <v>100</v>
      </c>
      <c r="E102">
        <f t="shared" ca="1" si="6"/>
        <v>5.4900799124259887E-2</v>
      </c>
      <c r="F102">
        <f t="shared" ca="1" si="6"/>
        <v>5.4915763107749489E-2</v>
      </c>
      <c r="G102">
        <f t="shared" ca="1" si="6"/>
        <v>5.4906455040145734E-2</v>
      </c>
      <c r="H102">
        <f t="shared" ca="1" si="6"/>
        <v>5.4891473348842333E-2</v>
      </c>
      <c r="I102">
        <f t="shared" ca="1" si="6"/>
        <v>5.4891542328266076E-2</v>
      </c>
      <c r="J102">
        <f t="shared" ca="1" si="5"/>
        <v>5.4906006952501765E-2</v>
      </c>
      <c r="K102">
        <f t="shared" ca="1" si="5"/>
        <v>5.4886662960082169E-2</v>
      </c>
      <c r="L102">
        <f t="shared" ca="1" si="5"/>
        <v>5.488992181089572E-2</v>
      </c>
      <c r="M102">
        <f t="shared" ca="1" si="5"/>
        <v>5.4915666097536391E-2</v>
      </c>
      <c r="N102">
        <f t="shared" ca="1" si="5"/>
        <v>5.4889865811428407E-2</v>
      </c>
      <c r="O102" s="43"/>
    </row>
    <row r="103" spans="3:15" x14ac:dyDescent="0.2">
      <c r="C103" s="3"/>
      <c r="D103">
        <v>101</v>
      </c>
      <c r="E103">
        <f t="shared" ca="1" si="6"/>
        <v>5.4901410110791395E-2</v>
      </c>
      <c r="F103">
        <f t="shared" ca="1" si="6"/>
        <v>5.491552038377575E-2</v>
      </c>
      <c r="G103">
        <f t="shared" ca="1" si="6"/>
        <v>5.4901144523121878E-2</v>
      </c>
      <c r="H103">
        <f t="shared" ca="1" si="6"/>
        <v>5.4893867498514444E-2</v>
      </c>
      <c r="I103">
        <f t="shared" ca="1" si="6"/>
        <v>5.4891135342917369E-2</v>
      </c>
      <c r="J103">
        <f t="shared" ca="1" si="5"/>
        <v>5.4908183748300018E-2</v>
      </c>
      <c r="K103">
        <f t="shared" ca="1" si="5"/>
        <v>5.4888282093488824E-2</v>
      </c>
      <c r="L103">
        <f t="shared" ca="1" si="5"/>
        <v>5.4888549970658645E-2</v>
      </c>
      <c r="M103">
        <f t="shared" ca="1" si="5"/>
        <v>5.4917300721637502E-2</v>
      </c>
      <c r="N103">
        <f t="shared" ca="1" si="5"/>
        <v>5.4894872865771119E-2</v>
      </c>
      <c r="O103" s="43"/>
    </row>
    <row r="104" spans="3:15" x14ac:dyDescent="0.2">
      <c r="C104" s="3"/>
      <c r="D104">
        <v>102</v>
      </c>
      <c r="E104">
        <f t="shared" ca="1" si="6"/>
        <v>5.4903150053232048E-2</v>
      </c>
      <c r="F104">
        <f t="shared" ca="1" si="6"/>
        <v>5.4911987894853041E-2</v>
      </c>
      <c r="G104">
        <f t="shared" ca="1" si="6"/>
        <v>5.4898365574012113E-2</v>
      </c>
      <c r="H104">
        <f t="shared" ca="1" si="6"/>
        <v>5.4889784561396357E-2</v>
      </c>
      <c r="I104">
        <f t="shared" ca="1" si="6"/>
        <v>5.4891422798029624E-2</v>
      </c>
      <c r="J104">
        <f t="shared" ca="1" si="5"/>
        <v>5.4902219964552273E-2</v>
      </c>
      <c r="K104">
        <f t="shared" ca="1" si="5"/>
        <v>5.4892397800315192E-2</v>
      </c>
      <c r="L104">
        <f t="shared" ca="1" si="5"/>
        <v>5.4890988730093883E-2</v>
      </c>
      <c r="M104">
        <f t="shared" ca="1" si="5"/>
        <v>5.4917698605455617E-2</v>
      </c>
      <c r="N104">
        <f t="shared" ca="1" si="5"/>
        <v>5.4896687516758774E-2</v>
      </c>
      <c r="O104" s="43"/>
    </row>
    <row r="105" spans="3:15" x14ac:dyDescent="0.2">
      <c r="C105" s="3"/>
      <c r="D105">
        <v>103</v>
      </c>
      <c r="E105">
        <f t="shared" ca="1" si="6"/>
        <v>5.4899078894513537E-2</v>
      </c>
      <c r="F105">
        <f t="shared" ca="1" si="6"/>
        <v>5.490514653335777E-2</v>
      </c>
      <c r="G105">
        <f t="shared" ca="1" si="6"/>
        <v>5.4901861227637065E-2</v>
      </c>
      <c r="H105">
        <f t="shared" ca="1" si="6"/>
        <v>5.4891863259283781E-2</v>
      </c>
      <c r="I105">
        <f t="shared" ca="1" si="6"/>
        <v>5.4887726841883859E-2</v>
      </c>
      <c r="J105">
        <f t="shared" ca="1" si="5"/>
        <v>5.4901611682046422E-2</v>
      </c>
      <c r="K105">
        <f t="shared" ca="1" si="5"/>
        <v>5.4890335001294741E-2</v>
      </c>
      <c r="L105">
        <f t="shared" ca="1" si="5"/>
        <v>5.4892527362231366E-2</v>
      </c>
      <c r="M105">
        <f t="shared" ca="1" si="5"/>
        <v>5.4917823949609874E-2</v>
      </c>
      <c r="N105">
        <f t="shared" ca="1" si="5"/>
        <v>5.4893059473700503E-2</v>
      </c>
      <c r="O105" s="43"/>
    </row>
    <row r="106" spans="3:15" x14ac:dyDescent="0.2">
      <c r="C106" s="3"/>
      <c r="D106">
        <v>104</v>
      </c>
      <c r="E106">
        <f t="shared" ca="1" si="6"/>
        <v>5.4899444549344027E-2</v>
      </c>
      <c r="F106">
        <f t="shared" ca="1" si="6"/>
        <v>5.4903312631225255E-2</v>
      </c>
      <c r="G106">
        <f t="shared" ca="1" si="6"/>
        <v>5.4907183944668557E-2</v>
      </c>
      <c r="H106">
        <f t="shared" ca="1" si="6"/>
        <v>5.4893690728644147E-2</v>
      </c>
      <c r="I106">
        <f t="shared" ca="1" si="6"/>
        <v>5.4893819291659159E-2</v>
      </c>
      <c r="J106">
        <f t="shared" ca="1" si="5"/>
        <v>5.4899792627820729E-2</v>
      </c>
      <c r="K106">
        <f t="shared" ca="1" si="5"/>
        <v>5.4894155475886552E-2</v>
      </c>
      <c r="L106">
        <f t="shared" ca="1" si="5"/>
        <v>5.489294888674115E-2</v>
      </c>
      <c r="M106">
        <f t="shared" ca="1" si="5"/>
        <v>5.4916953890944184E-2</v>
      </c>
      <c r="N106">
        <f t="shared" ca="1" si="5"/>
        <v>5.4900956787203511E-2</v>
      </c>
      <c r="O106" s="43"/>
    </row>
    <row r="107" spans="3:15" x14ac:dyDescent="0.2">
      <c r="C107" s="3"/>
      <c r="D107">
        <v>105</v>
      </c>
      <c r="E107">
        <f t="shared" ca="1" si="6"/>
        <v>5.489973869900501E-2</v>
      </c>
      <c r="F107">
        <f t="shared" ca="1" si="6"/>
        <v>5.490377315145302E-2</v>
      </c>
      <c r="G107">
        <f t="shared" ca="1" si="6"/>
        <v>5.4911410284380964E-2</v>
      </c>
      <c r="H107">
        <f t="shared" ca="1" si="6"/>
        <v>5.4893084032533804E-2</v>
      </c>
      <c r="I107">
        <f t="shared" ca="1" si="6"/>
        <v>5.4893284060826268E-2</v>
      </c>
      <c r="J107">
        <f t="shared" ca="1" si="5"/>
        <v>5.4900962898623035E-2</v>
      </c>
      <c r="K107">
        <f t="shared" ca="1" si="5"/>
        <v>5.4892052149879814E-2</v>
      </c>
      <c r="L107">
        <f t="shared" ca="1" si="5"/>
        <v>5.4891907374010569E-2</v>
      </c>
      <c r="M107">
        <f t="shared" ca="1" si="5"/>
        <v>5.4915021095446423E-2</v>
      </c>
      <c r="N107">
        <f t="shared" ca="1" si="5"/>
        <v>5.4901508585423128E-2</v>
      </c>
      <c r="O107" s="43"/>
    </row>
    <row r="108" spans="3:15" x14ac:dyDescent="0.2">
      <c r="C108" s="3"/>
      <c r="D108">
        <v>106</v>
      </c>
      <c r="E108">
        <f t="shared" ca="1" si="6"/>
        <v>5.4904545259298138E-2</v>
      </c>
      <c r="F108">
        <f t="shared" ca="1" si="6"/>
        <v>5.490199665730891E-2</v>
      </c>
      <c r="G108">
        <f t="shared" ca="1" si="6"/>
        <v>5.4912370034760294E-2</v>
      </c>
      <c r="H108">
        <f t="shared" ca="1" si="6"/>
        <v>5.4890502876300734E-2</v>
      </c>
      <c r="I108">
        <f t="shared" ca="1" si="6"/>
        <v>5.4891693672826113E-2</v>
      </c>
      <c r="J108">
        <f t="shared" ca="1" si="5"/>
        <v>5.4897826956247592E-2</v>
      </c>
      <c r="K108">
        <f t="shared" ca="1" si="5"/>
        <v>5.4889935349889611E-2</v>
      </c>
      <c r="L108">
        <f t="shared" ca="1" si="5"/>
        <v>5.4889715899530039E-2</v>
      </c>
      <c r="M108">
        <f t="shared" ca="1" si="5"/>
        <v>5.4914599121539266E-2</v>
      </c>
      <c r="N108">
        <f t="shared" ca="1" si="5"/>
        <v>5.4902077017766185E-2</v>
      </c>
      <c r="O108" s="43"/>
    </row>
    <row r="109" spans="3:15" x14ac:dyDescent="0.2">
      <c r="C109" s="3"/>
      <c r="D109">
        <v>107</v>
      </c>
      <c r="E109">
        <f t="shared" ca="1" si="6"/>
        <v>5.4902176106778722E-2</v>
      </c>
      <c r="F109">
        <f t="shared" ca="1" si="6"/>
        <v>5.4897555463984268E-2</v>
      </c>
      <c r="G109">
        <f t="shared" ca="1" si="6"/>
        <v>5.4914628478138147E-2</v>
      </c>
      <c r="H109">
        <f t="shared" ca="1" si="6"/>
        <v>5.4890928810141737E-2</v>
      </c>
      <c r="I109">
        <f t="shared" ca="1" si="6"/>
        <v>5.4890504534187493E-2</v>
      </c>
      <c r="J109">
        <f t="shared" ca="1" si="5"/>
        <v>5.489874229176836E-2</v>
      </c>
      <c r="K109">
        <f t="shared" ca="1" si="5"/>
        <v>5.4887499310005444E-2</v>
      </c>
      <c r="L109">
        <f t="shared" ca="1" si="5"/>
        <v>5.4889781644675013E-2</v>
      </c>
      <c r="M109">
        <f t="shared" ca="1" si="5"/>
        <v>5.491380208927029E-2</v>
      </c>
      <c r="N109">
        <f t="shared" ca="1" si="5"/>
        <v>5.4898681537741571E-2</v>
      </c>
      <c r="O109" s="43"/>
    </row>
    <row r="110" spans="3:15" x14ac:dyDescent="0.2">
      <c r="C110" s="3"/>
      <c r="D110">
        <v>108</v>
      </c>
      <c r="E110">
        <f t="shared" ca="1" si="6"/>
        <v>5.4901270925717401E-2</v>
      </c>
      <c r="F110">
        <f t="shared" ca="1" si="6"/>
        <v>5.489747305070742E-2</v>
      </c>
      <c r="G110">
        <f t="shared" ca="1" si="6"/>
        <v>5.4912274088555639E-2</v>
      </c>
      <c r="H110">
        <f t="shared" ca="1" si="6"/>
        <v>5.4894812683331504E-2</v>
      </c>
      <c r="I110">
        <f t="shared" ca="1" si="6"/>
        <v>5.4893126141454487E-2</v>
      </c>
      <c r="J110">
        <f t="shared" ca="1" si="5"/>
        <v>5.4903319792148811E-2</v>
      </c>
      <c r="K110">
        <f t="shared" ca="1" si="5"/>
        <v>5.4891850207188564E-2</v>
      </c>
      <c r="L110">
        <f t="shared" ca="1" si="5"/>
        <v>5.4889629101569325E-2</v>
      </c>
      <c r="M110">
        <f t="shared" ca="1" si="5"/>
        <v>5.4908193953819018E-2</v>
      </c>
      <c r="N110">
        <f t="shared" ca="1" si="5"/>
        <v>5.489711844029186E-2</v>
      </c>
      <c r="O110" s="43"/>
    </row>
    <row r="111" spans="3:15" x14ac:dyDescent="0.2">
      <c r="C111" s="3"/>
      <c r="D111">
        <v>109</v>
      </c>
      <c r="E111">
        <f t="shared" ca="1" si="6"/>
        <v>5.4900187456368224E-2</v>
      </c>
      <c r="F111">
        <f t="shared" ca="1" si="6"/>
        <v>5.489310990726487E-2</v>
      </c>
      <c r="G111">
        <f t="shared" ca="1" si="6"/>
        <v>5.4914027160202029E-2</v>
      </c>
      <c r="H111">
        <f t="shared" ca="1" si="6"/>
        <v>5.4898407736120029E-2</v>
      </c>
      <c r="I111">
        <f t="shared" ca="1" si="6"/>
        <v>5.4889669304130029E-2</v>
      </c>
      <c r="J111">
        <f t="shared" ca="1" si="5"/>
        <v>5.4902169948737117E-2</v>
      </c>
      <c r="K111">
        <f t="shared" ca="1" si="5"/>
        <v>5.4891583755388877E-2</v>
      </c>
      <c r="L111">
        <f t="shared" ca="1" si="5"/>
        <v>5.4890574878192558E-2</v>
      </c>
      <c r="M111">
        <f t="shared" ca="1" si="5"/>
        <v>5.4904903587444154E-2</v>
      </c>
      <c r="N111">
        <f t="shared" ca="1" si="5"/>
        <v>5.4896282067408986E-2</v>
      </c>
      <c r="O111" s="43"/>
    </row>
    <row r="112" spans="3:15" x14ac:dyDescent="0.2">
      <c r="C112" s="3"/>
      <c r="D112">
        <v>110</v>
      </c>
      <c r="E112">
        <f t="shared" ca="1" si="6"/>
        <v>5.489830511472079E-2</v>
      </c>
      <c r="F112">
        <f t="shared" ca="1" si="6"/>
        <v>5.4891904324419614E-2</v>
      </c>
      <c r="G112">
        <f t="shared" ca="1" si="6"/>
        <v>5.4913972568262616E-2</v>
      </c>
      <c r="H112">
        <f t="shared" ca="1" si="6"/>
        <v>5.4903568525434106E-2</v>
      </c>
      <c r="I112">
        <f t="shared" ca="1" si="6"/>
        <v>5.489135604668615E-2</v>
      </c>
      <c r="J112">
        <f t="shared" ca="1" si="5"/>
        <v>5.489972488955204E-2</v>
      </c>
      <c r="K112">
        <f t="shared" ca="1" si="5"/>
        <v>5.4897700992549203E-2</v>
      </c>
      <c r="L112">
        <f t="shared" ca="1" si="5"/>
        <v>5.4891691120753615E-2</v>
      </c>
      <c r="M112">
        <f t="shared" ca="1" si="5"/>
        <v>5.4905410402065688E-2</v>
      </c>
      <c r="N112">
        <f t="shared" ca="1" si="5"/>
        <v>5.4895707713081887E-2</v>
      </c>
      <c r="O112" s="43"/>
    </row>
    <row r="113" spans="3:15" x14ac:dyDescent="0.2">
      <c r="C113" s="3"/>
      <c r="D113">
        <v>111</v>
      </c>
      <c r="E113">
        <f t="shared" ca="1" si="6"/>
        <v>5.4897424325350538E-2</v>
      </c>
      <c r="F113">
        <f t="shared" ca="1" si="6"/>
        <v>5.4893274559075611E-2</v>
      </c>
      <c r="G113">
        <f t="shared" ca="1" si="6"/>
        <v>5.4910977797399181E-2</v>
      </c>
      <c r="H113">
        <f t="shared" ca="1" si="6"/>
        <v>5.4901060842327057E-2</v>
      </c>
      <c r="I113">
        <f t="shared" ca="1" si="6"/>
        <v>5.4891073228801796E-2</v>
      </c>
      <c r="J113">
        <f t="shared" ca="1" si="5"/>
        <v>5.4900135422882322E-2</v>
      </c>
      <c r="K113">
        <f t="shared" ca="1" si="5"/>
        <v>5.4897964379400283E-2</v>
      </c>
      <c r="L113">
        <f t="shared" ca="1" si="5"/>
        <v>5.4892179459933001E-2</v>
      </c>
      <c r="M113">
        <f t="shared" ca="1" si="5"/>
        <v>5.4904385519765439E-2</v>
      </c>
      <c r="N113">
        <f t="shared" ca="1" si="5"/>
        <v>5.4892529553212666E-2</v>
      </c>
      <c r="O113" s="43"/>
    </row>
    <row r="114" spans="3:15" x14ac:dyDescent="0.2">
      <c r="C114" s="3"/>
      <c r="D114">
        <v>112</v>
      </c>
      <c r="E114">
        <f t="shared" ca="1" si="6"/>
        <v>5.4896963821977618E-2</v>
      </c>
      <c r="F114">
        <f t="shared" ca="1" si="6"/>
        <v>5.4893528255796381E-2</v>
      </c>
      <c r="G114">
        <f t="shared" ca="1" si="6"/>
        <v>5.4915061580390334E-2</v>
      </c>
      <c r="H114">
        <f t="shared" ca="1" si="6"/>
        <v>5.4897658963555696E-2</v>
      </c>
      <c r="I114">
        <f t="shared" ca="1" si="6"/>
        <v>5.4892019642666393E-2</v>
      </c>
      <c r="J114">
        <f t="shared" ca="1" si="5"/>
        <v>5.4899567495152408E-2</v>
      </c>
      <c r="K114">
        <f t="shared" ca="1" si="5"/>
        <v>5.4894723931938991E-2</v>
      </c>
      <c r="L114">
        <f t="shared" ca="1" si="5"/>
        <v>5.489232102216212E-2</v>
      </c>
      <c r="M114">
        <f t="shared" ca="1" si="5"/>
        <v>5.4906776177984652E-2</v>
      </c>
      <c r="N114">
        <f t="shared" ca="1" si="5"/>
        <v>5.4894891306169154E-2</v>
      </c>
      <c r="O114" s="43"/>
    </row>
    <row r="115" spans="3:15" x14ac:dyDescent="0.2">
      <c r="C115" s="3"/>
      <c r="D115">
        <v>113</v>
      </c>
      <c r="E115">
        <f t="shared" ca="1" si="6"/>
        <v>5.4900653221520837E-2</v>
      </c>
      <c r="F115">
        <f t="shared" ca="1" si="6"/>
        <v>5.4892185107985547E-2</v>
      </c>
      <c r="G115">
        <f t="shared" ca="1" si="6"/>
        <v>5.4910686474653927E-2</v>
      </c>
      <c r="H115">
        <f t="shared" ca="1" si="6"/>
        <v>5.4899341494877123E-2</v>
      </c>
      <c r="I115">
        <f t="shared" ca="1" si="6"/>
        <v>5.4889644200626586E-2</v>
      </c>
      <c r="J115">
        <f t="shared" ca="1" si="5"/>
        <v>5.4898435412977772E-2</v>
      </c>
      <c r="K115">
        <f t="shared" ca="1" si="5"/>
        <v>5.4898049308660442E-2</v>
      </c>
      <c r="L115">
        <f t="shared" ca="1" si="5"/>
        <v>5.4893112766802345E-2</v>
      </c>
      <c r="M115">
        <f t="shared" ca="1" si="5"/>
        <v>5.490597905749485E-2</v>
      </c>
      <c r="N115">
        <f t="shared" ca="1" si="5"/>
        <v>5.4889443765215942E-2</v>
      </c>
      <c r="O115" s="43"/>
    </row>
    <row r="116" spans="3:15" x14ac:dyDescent="0.2">
      <c r="C116" s="3"/>
      <c r="D116">
        <v>114</v>
      </c>
      <c r="E116">
        <f t="shared" ca="1" si="6"/>
        <v>5.4898865999506094E-2</v>
      </c>
      <c r="F116">
        <f t="shared" ca="1" si="6"/>
        <v>5.4893631562852999E-2</v>
      </c>
      <c r="G116">
        <f t="shared" ca="1" si="6"/>
        <v>5.4913351828700059E-2</v>
      </c>
      <c r="H116">
        <f t="shared" ca="1" si="6"/>
        <v>5.4901972906763935E-2</v>
      </c>
      <c r="I116">
        <f t="shared" ca="1" si="6"/>
        <v>5.4889472525401793E-2</v>
      </c>
      <c r="J116">
        <f t="shared" ca="1" si="5"/>
        <v>5.4901933513902552E-2</v>
      </c>
      <c r="K116">
        <f t="shared" ca="1" si="5"/>
        <v>5.4899241868668208E-2</v>
      </c>
      <c r="L116">
        <f t="shared" ca="1" si="5"/>
        <v>5.4892017819832252E-2</v>
      </c>
      <c r="M116">
        <f t="shared" ca="1" si="5"/>
        <v>5.4909381108829723E-2</v>
      </c>
      <c r="N116">
        <f t="shared" ca="1" si="5"/>
        <v>5.4889401000957738E-2</v>
      </c>
      <c r="O116" s="43"/>
    </row>
    <row r="117" spans="3:15" x14ac:dyDescent="0.2">
      <c r="C117" s="3"/>
      <c r="D117">
        <v>115</v>
      </c>
      <c r="E117">
        <f t="shared" ca="1" si="6"/>
        <v>5.490308103671733E-2</v>
      </c>
      <c r="F117">
        <f t="shared" ca="1" si="6"/>
        <v>5.4896465098516478E-2</v>
      </c>
      <c r="G117">
        <f t="shared" ca="1" si="6"/>
        <v>5.4912627811471729E-2</v>
      </c>
      <c r="H117">
        <f t="shared" ca="1" si="6"/>
        <v>5.4901398252814523E-2</v>
      </c>
      <c r="I117">
        <f t="shared" ca="1" si="6"/>
        <v>5.4889996330209814E-2</v>
      </c>
      <c r="J117">
        <f t="shared" ca="1" si="5"/>
        <v>5.4905502175587324E-2</v>
      </c>
      <c r="K117">
        <f t="shared" ca="1" si="5"/>
        <v>5.4894004116701485E-2</v>
      </c>
      <c r="L117">
        <f t="shared" ca="1" si="5"/>
        <v>5.4889020514162834E-2</v>
      </c>
      <c r="M117">
        <f t="shared" ca="1" si="5"/>
        <v>5.4907980977325035E-2</v>
      </c>
      <c r="N117">
        <f t="shared" ca="1" si="5"/>
        <v>5.4888423027294089E-2</v>
      </c>
      <c r="O117" s="43"/>
    </row>
    <row r="118" spans="3:15" x14ac:dyDescent="0.2">
      <c r="C118" s="3"/>
      <c r="D118">
        <v>116</v>
      </c>
      <c r="E118">
        <f t="shared" ca="1" si="6"/>
        <v>5.4903125656526677E-2</v>
      </c>
      <c r="F118">
        <f t="shared" ca="1" si="6"/>
        <v>5.4895304769044521E-2</v>
      </c>
      <c r="G118">
        <f t="shared" ca="1" si="6"/>
        <v>5.49103421839061E-2</v>
      </c>
      <c r="H118">
        <f t="shared" ca="1" si="6"/>
        <v>5.4901723020066719E-2</v>
      </c>
      <c r="I118">
        <f t="shared" ca="1" si="6"/>
        <v>5.4891226183660054E-2</v>
      </c>
      <c r="J118">
        <f t="shared" ca="1" si="5"/>
        <v>5.4903921187353703E-2</v>
      </c>
      <c r="K118">
        <f t="shared" ca="1" si="5"/>
        <v>5.4894999172629494E-2</v>
      </c>
      <c r="L118">
        <f t="shared" ca="1" si="5"/>
        <v>5.4887531616345908E-2</v>
      </c>
      <c r="M118">
        <f t="shared" ca="1" si="5"/>
        <v>5.4908499945452438E-2</v>
      </c>
      <c r="N118">
        <f t="shared" ca="1" si="5"/>
        <v>5.4889103688025215E-2</v>
      </c>
      <c r="O118" s="43"/>
    </row>
    <row r="119" spans="3:15" x14ac:dyDescent="0.2">
      <c r="C119" s="3"/>
      <c r="D119">
        <v>117</v>
      </c>
      <c r="E119">
        <f t="shared" ca="1" si="6"/>
        <v>5.490297800509103E-2</v>
      </c>
      <c r="F119">
        <f t="shared" ca="1" si="6"/>
        <v>5.4892488002831176E-2</v>
      </c>
      <c r="G119">
        <f t="shared" ca="1" si="6"/>
        <v>5.4909048727952048E-2</v>
      </c>
      <c r="H119">
        <f t="shared" ca="1" si="6"/>
        <v>5.490149894799061E-2</v>
      </c>
      <c r="I119">
        <f t="shared" ca="1" si="6"/>
        <v>5.4892950748671142E-2</v>
      </c>
      <c r="J119">
        <f t="shared" ca="1" si="5"/>
        <v>5.490819641454063E-2</v>
      </c>
      <c r="K119">
        <f t="shared" ca="1" si="5"/>
        <v>5.4895122433200216E-2</v>
      </c>
      <c r="L119">
        <f t="shared" ca="1" si="5"/>
        <v>5.4891081024225477E-2</v>
      </c>
      <c r="M119">
        <f t="shared" ca="1" si="5"/>
        <v>5.4910888910905065E-2</v>
      </c>
      <c r="N119">
        <f t="shared" ca="1" si="5"/>
        <v>5.489217613525664E-2</v>
      </c>
      <c r="O119" s="43"/>
    </row>
    <row r="120" spans="3:15" x14ac:dyDescent="0.2">
      <c r="C120" s="3"/>
      <c r="D120">
        <v>118</v>
      </c>
      <c r="E120">
        <f t="shared" ca="1" si="6"/>
        <v>5.4903337545863164E-2</v>
      </c>
      <c r="F120">
        <f t="shared" ca="1" si="6"/>
        <v>5.4887879065977974E-2</v>
      </c>
      <c r="G120">
        <f t="shared" ca="1" si="6"/>
        <v>5.490768001115879E-2</v>
      </c>
      <c r="H120">
        <f t="shared" ca="1" si="6"/>
        <v>5.4896793485169119E-2</v>
      </c>
      <c r="I120">
        <f t="shared" ca="1" si="6"/>
        <v>5.4891371683062143E-2</v>
      </c>
      <c r="J120">
        <f t="shared" ca="1" si="5"/>
        <v>5.4910838221052728E-2</v>
      </c>
      <c r="K120">
        <f t="shared" ca="1" si="5"/>
        <v>5.4898599753636694E-2</v>
      </c>
      <c r="L120">
        <f t="shared" ca="1" si="5"/>
        <v>5.4893815073335683E-2</v>
      </c>
      <c r="M120">
        <f t="shared" ca="1" si="5"/>
        <v>5.4908875486595579E-2</v>
      </c>
      <c r="N120">
        <f t="shared" ca="1" si="5"/>
        <v>5.4892837236300278E-2</v>
      </c>
      <c r="O120" s="43"/>
    </row>
    <row r="121" spans="3:15" x14ac:dyDescent="0.2">
      <c r="C121" s="3"/>
      <c r="D121">
        <v>119</v>
      </c>
      <c r="E121">
        <f t="shared" ca="1" si="6"/>
        <v>5.490507094935293E-2</v>
      </c>
      <c r="F121">
        <f t="shared" ca="1" si="6"/>
        <v>5.488700139971283E-2</v>
      </c>
      <c r="G121">
        <f t="shared" ca="1" si="6"/>
        <v>5.4906556028575575E-2</v>
      </c>
      <c r="H121">
        <f t="shared" ca="1" si="6"/>
        <v>5.4895928863922687E-2</v>
      </c>
      <c r="I121">
        <f t="shared" ca="1" si="6"/>
        <v>5.4893294679222562E-2</v>
      </c>
      <c r="J121">
        <f t="shared" ca="1" si="5"/>
        <v>5.4911894080929613E-2</v>
      </c>
      <c r="K121">
        <f t="shared" ca="1" si="5"/>
        <v>5.4895560224718261E-2</v>
      </c>
      <c r="L121">
        <f t="shared" ca="1" si="5"/>
        <v>5.4895962555515807E-2</v>
      </c>
      <c r="M121">
        <f t="shared" ca="1" si="5"/>
        <v>5.4903350442636181E-2</v>
      </c>
      <c r="N121">
        <f t="shared" ca="1" si="5"/>
        <v>5.4893531408109944E-2</v>
      </c>
      <c r="O121" s="43"/>
    </row>
    <row r="122" spans="3:15" x14ac:dyDescent="0.2">
      <c r="C122" s="3"/>
      <c r="D122">
        <v>120</v>
      </c>
      <c r="E122">
        <f t="shared" ca="1" si="6"/>
        <v>5.4905509553675277E-2</v>
      </c>
      <c r="F122">
        <f t="shared" ca="1" si="6"/>
        <v>5.4889364846828603E-2</v>
      </c>
      <c r="G122">
        <f t="shared" ca="1" si="6"/>
        <v>5.4905640832365106E-2</v>
      </c>
      <c r="H122">
        <f t="shared" ca="1" si="6"/>
        <v>5.4893202540321956E-2</v>
      </c>
      <c r="I122">
        <f t="shared" ca="1" si="6"/>
        <v>5.4890914569830827E-2</v>
      </c>
      <c r="J122">
        <f t="shared" ca="1" si="5"/>
        <v>5.4916435493956986E-2</v>
      </c>
      <c r="K122">
        <f t="shared" ca="1" si="5"/>
        <v>5.4896534056971466E-2</v>
      </c>
      <c r="L122">
        <f t="shared" ca="1" si="5"/>
        <v>5.489212752681117E-2</v>
      </c>
      <c r="M122">
        <f t="shared" ca="1" si="5"/>
        <v>5.4904867441713134E-2</v>
      </c>
      <c r="N122">
        <f t="shared" ca="1" si="5"/>
        <v>5.4890351583185761E-2</v>
      </c>
      <c r="O122" s="43"/>
    </row>
    <row r="123" spans="3:15" x14ac:dyDescent="0.2">
      <c r="C123" s="3"/>
      <c r="D123">
        <v>121</v>
      </c>
      <c r="E123">
        <f t="shared" ca="1" si="6"/>
        <v>5.4908392994069931E-2</v>
      </c>
      <c r="F123">
        <f t="shared" ca="1" si="6"/>
        <v>5.4885780934176537E-2</v>
      </c>
      <c r="G123">
        <f t="shared" ca="1" si="6"/>
        <v>5.4907264396954002E-2</v>
      </c>
      <c r="H123">
        <f t="shared" ca="1" si="6"/>
        <v>5.489098695261159E-2</v>
      </c>
      <c r="I123">
        <f t="shared" ca="1" si="6"/>
        <v>5.4888369171117307E-2</v>
      </c>
      <c r="J123">
        <f t="shared" ca="1" si="5"/>
        <v>5.491495633059594E-2</v>
      </c>
      <c r="K123">
        <f t="shared" ca="1" si="5"/>
        <v>5.4898078571208854E-2</v>
      </c>
      <c r="L123">
        <f t="shared" ca="1" si="5"/>
        <v>5.4894088106877841E-2</v>
      </c>
      <c r="M123">
        <f t="shared" ca="1" si="5"/>
        <v>5.4900740300809596E-2</v>
      </c>
      <c r="N123">
        <f t="shared" ca="1" si="5"/>
        <v>5.488955270839594E-2</v>
      </c>
      <c r="O123" s="43"/>
    </row>
    <row r="124" spans="3:15" x14ac:dyDescent="0.2">
      <c r="C124" s="3"/>
      <c r="D124">
        <v>122</v>
      </c>
      <c r="E124">
        <f t="shared" ca="1" si="6"/>
        <v>5.4909052403990563E-2</v>
      </c>
      <c r="F124">
        <f t="shared" ca="1" si="6"/>
        <v>5.4887011195352053E-2</v>
      </c>
      <c r="G124">
        <f t="shared" ca="1" si="6"/>
        <v>5.490746538441172E-2</v>
      </c>
      <c r="H124">
        <f t="shared" ca="1" si="6"/>
        <v>5.4890379792502754E-2</v>
      </c>
      <c r="I124">
        <f t="shared" ca="1" si="6"/>
        <v>5.4892893102521892E-2</v>
      </c>
      <c r="J124">
        <f t="shared" ca="1" si="5"/>
        <v>5.4916721392632623E-2</v>
      </c>
      <c r="K124">
        <f t="shared" ca="1" si="5"/>
        <v>5.4896730220251509E-2</v>
      </c>
      <c r="L124">
        <f t="shared" ca="1" si="5"/>
        <v>5.4892245303164361E-2</v>
      </c>
      <c r="M124">
        <f t="shared" ca="1" si="5"/>
        <v>5.4896652581789954E-2</v>
      </c>
      <c r="N124">
        <f t="shared" ca="1" si="5"/>
        <v>5.4889587022576548E-2</v>
      </c>
      <c r="O124" s="43"/>
    </row>
    <row r="125" spans="3:15" x14ac:dyDescent="0.2">
      <c r="C125" s="3"/>
      <c r="D125">
        <v>123</v>
      </c>
      <c r="E125">
        <f t="shared" ca="1" si="6"/>
        <v>5.4908040856711769E-2</v>
      </c>
      <c r="F125">
        <f t="shared" ca="1" si="6"/>
        <v>5.4886295319326213E-2</v>
      </c>
      <c r="G125">
        <f t="shared" ca="1" si="6"/>
        <v>5.4909668019019031E-2</v>
      </c>
      <c r="H125">
        <f t="shared" ca="1" si="6"/>
        <v>5.4888486170809242E-2</v>
      </c>
      <c r="I125">
        <f t="shared" ca="1" si="6"/>
        <v>5.489058456001969E-2</v>
      </c>
      <c r="J125">
        <f t="shared" ca="1" si="5"/>
        <v>5.4917354038470305E-2</v>
      </c>
      <c r="K125">
        <f t="shared" ca="1" si="5"/>
        <v>5.4894212118028862E-2</v>
      </c>
      <c r="L125">
        <f t="shared" ca="1" si="5"/>
        <v>5.4893865601661797E-2</v>
      </c>
      <c r="M125">
        <f t="shared" ca="1" si="5"/>
        <v>5.4891762873932347E-2</v>
      </c>
      <c r="N125">
        <f t="shared" ca="1" si="5"/>
        <v>5.4889072529977753E-2</v>
      </c>
      <c r="O125" s="43"/>
    </row>
    <row r="126" spans="3:15" x14ac:dyDescent="0.2">
      <c r="C126" s="3"/>
      <c r="D126">
        <v>124</v>
      </c>
      <c r="E126">
        <f t="shared" ca="1" si="6"/>
        <v>5.4911781483425473E-2</v>
      </c>
      <c r="F126">
        <f t="shared" ca="1" si="6"/>
        <v>5.4890263913539329E-2</v>
      </c>
      <c r="G126">
        <f t="shared" ca="1" si="6"/>
        <v>5.4910584589812038E-2</v>
      </c>
      <c r="H126">
        <f t="shared" ca="1" si="6"/>
        <v>5.4885463100752312E-2</v>
      </c>
      <c r="I126">
        <f t="shared" ca="1" si="6"/>
        <v>5.4890314455878428E-2</v>
      </c>
      <c r="J126">
        <f t="shared" ca="1" si="5"/>
        <v>5.4915382172331391E-2</v>
      </c>
      <c r="K126">
        <f t="shared" ca="1" si="5"/>
        <v>5.4894803638386641E-2</v>
      </c>
      <c r="L126">
        <f t="shared" ca="1" si="5"/>
        <v>5.4896041696986045E-2</v>
      </c>
      <c r="M126">
        <f t="shared" ca="1" si="5"/>
        <v>5.4894321387445752E-2</v>
      </c>
      <c r="N126">
        <f t="shared" ca="1" si="5"/>
        <v>5.4883660253397741E-2</v>
      </c>
      <c r="O126" s="43"/>
    </row>
    <row r="127" spans="3:15" x14ac:dyDescent="0.2">
      <c r="C127" s="3"/>
      <c r="D127">
        <v>125</v>
      </c>
      <c r="E127">
        <f t="shared" ca="1" si="6"/>
        <v>5.4911968496825322E-2</v>
      </c>
      <c r="F127">
        <f t="shared" ca="1" si="6"/>
        <v>5.4890526556675333E-2</v>
      </c>
      <c r="G127">
        <f t="shared" ca="1" si="6"/>
        <v>5.4905152696703617E-2</v>
      </c>
      <c r="H127">
        <f t="shared" ca="1" si="6"/>
        <v>5.488878462447605E-2</v>
      </c>
      <c r="I127">
        <f t="shared" ca="1" si="6"/>
        <v>5.4887322817257403E-2</v>
      </c>
      <c r="J127">
        <f t="shared" ca="1" si="5"/>
        <v>5.4916180906727195E-2</v>
      </c>
      <c r="K127">
        <f t="shared" ca="1" si="5"/>
        <v>5.4896115824253092E-2</v>
      </c>
      <c r="L127">
        <f t="shared" ca="1" si="5"/>
        <v>5.4898211111294094E-2</v>
      </c>
      <c r="M127">
        <f t="shared" ca="1" si="5"/>
        <v>5.4893888225720743E-2</v>
      </c>
      <c r="N127">
        <f t="shared" ca="1" si="5"/>
        <v>5.4882695032686141E-2</v>
      </c>
      <c r="O127" s="43"/>
    </row>
    <row r="128" spans="3:15" x14ac:dyDescent="0.2">
      <c r="C128" s="3"/>
      <c r="D128">
        <v>126</v>
      </c>
      <c r="E128">
        <f t="shared" ca="1" si="6"/>
        <v>5.4916015299588658E-2</v>
      </c>
      <c r="F128">
        <f t="shared" ca="1" si="6"/>
        <v>5.4889098424015889E-2</v>
      </c>
      <c r="G128">
        <f t="shared" ca="1" si="6"/>
        <v>5.4902234380868505E-2</v>
      </c>
      <c r="H128">
        <f t="shared" ca="1" si="6"/>
        <v>5.4884635878293841E-2</v>
      </c>
      <c r="I128">
        <f t="shared" ca="1" si="6"/>
        <v>5.4891482978086534E-2</v>
      </c>
      <c r="J128">
        <f t="shared" ca="1" si="5"/>
        <v>5.4917534200624417E-2</v>
      </c>
      <c r="K128">
        <f t="shared" ca="1" si="5"/>
        <v>5.4891400097399144E-2</v>
      </c>
      <c r="L128">
        <f t="shared" ca="1" si="5"/>
        <v>5.4898294771599826E-2</v>
      </c>
      <c r="M128">
        <f t="shared" ca="1" si="5"/>
        <v>5.4892054800413051E-2</v>
      </c>
      <c r="N128">
        <f t="shared" ca="1" si="5"/>
        <v>5.4877983143873703E-2</v>
      </c>
      <c r="O128" s="43"/>
    </row>
    <row r="129" spans="3:15" x14ac:dyDescent="0.2">
      <c r="C129" s="3"/>
      <c r="D129">
        <v>127</v>
      </c>
      <c r="E129">
        <f t="shared" ca="1" si="6"/>
        <v>5.4914566210929383E-2</v>
      </c>
      <c r="F129">
        <f t="shared" ca="1" si="6"/>
        <v>5.4892713133131314E-2</v>
      </c>
      <c r="G129">
        <f t="shared" ca="1" si="6"/>
        <v>5.4905045952214904E-2</v>
      </c>
      <c r="H129">
        <f t="shared" ca="1" si="6"/>
        <v>5.4883395433483778E-2</v>
      </c>
      <c r="I129">
        <f t="shared" ca="1" si="6"/>
        <v>5.4893394434619158E-2</v>
      </c>
      <c r="J129">
        <f t="shared" ca="1" si="5"/>
        <v>5.491602848700166E-2</v>
      </c>
      <c r="K129">
        <f t="shared" ca="1" si="5"/>
        <v>5.4890021196914017E-2</v>
      </c>
      <c r="L129">
        <f t="shared" ca="1" si="5"/>
        <v>5.4895650441604847E-2</v>
      </c>
      <c r="M129">
        <f t="shared" ca="1" si="5"/>
        <v>5.4893105971063193E-2</v>
      </c>
      <c r="N129">
        <f t="shared" ca="1" si="5"/>
        <v>5.4879209443784875E-2</v>
      </c>
      <c r="O129" s="43"/>
    </row>
    <row r="130" spans="3:15" x14ac:dyDescent="0.2">
      <c r="C130" s="3"/>
      <c r="D130">
        <v>128</v>
      </c>
      <c r="E130">
        <f t="shared" ca="1" si="6"/>
        <v>5.4920788238074288E-2</v>
      </c>
      <c r="F130">
        <f t="shared" ca="1" si="6"/>
        <v>5.4893293009245531E-2</v>
      </c>
      <c r="G130">
        <f t="shared" ca="1" si="6"/>
        <v>5.4911836522098245E-2</v>
      </c>
      <c r="H130">
        <f t="shared" ca="1" si="6"/>
        <v>5.4881617971702615E-2</v>
      </c>
      <c r="I130">
        <f t="shared" ca="1" si="6"/>
        <v>5.4893465709481684E-2</v>
      </c>
      <c r="J130">
        <f t="shared" ca="1" si="5"/>
        <v>5.4915503214075817E-2</v>
      </c>
      <c r="K130">
        <f t="shared" ca="1" si="5"/>
        <v>5.4891564689736883E-2</v>
      </c>
      <c r="L130">
        <f t="shared" ca="1" si="5"/>
        <v>5.4895451224689647E-2</v>
      </c>
      <c r="M130">
        <f t="shared" ca="1" si="5"/>
        <v>5.4893104970622844E-2</v>
      </c>
      <c r="N130">
        <f t="shared" ca="1" si="5"/>
        <v>5.4878068711162464E-2</v>
      </c>
      <c r="O130" s="43"/>
    </row>
    <row r="131" spans="3:15" x14ac:dyDescent="0.2">
      <c r="C131" s="3"/>
      <c r="D131">
        <v>129</v>
      </c>
      <c r="E131">
        <f t="shared" ca="1" si="6"/>
        <v>5.4920348777174839E-2</v>
      </c>
      <c r="F131">
        <f t="shared" ca="1" si="6"/>
        <v>5.4893687440984065E-2</v>
      </c>
      <c r="G131">
        <f t="shared" ca="1" si="6"/>
        <v>5.4909733486938464E-2</v>
      </c>
      <c r="H131">
        <f t="shared" ca="1" si="6"/>
        <v>5.4880373948402131E-2</v>
      </c>
      <c r="I131">
        <f t="shared" ca="1" si="6"/>
        <v>5.4897777037178054E-2</v>
      </c>
      <c r="J131">
        <f t="shared" ref="J131:N181" ca="1" si="7">$B$1*($B$2-J130)*$B$6+$B$3*SQRT(J130)*SQRT($B$6)*_xlfn.NORM.S.INV(RAND())+J130</f>
        <v>5.4908373066068661E-2</v>
      </c>
      <c r="K131">
        <f t="shared" ca="1" si="7"/>
        <v>5.489335761947732E-2</v>
      </c>
      <c r="L131">
        <f t="shared" ca="1" si="7"/>
        <v>5.4893482745053977E-2</v>
      </c>
      <c r="M131">
        <f t="shared" ca="1" si="7"/>
        <v>5.4891279480070963E-2</v>
      </c>
      <c r="N131">
        <f t="shared" ca="1" si="7"/>
        <v>5.4876093274865582E-2</v>
      </c>
      <c r="O131" s="43"/>
    </row>
    <row r="132" spans="3:15" x14ac:dyDescent="0.2">
      <c r="C132" s="3"/>
      <c r="D132">
        <v>130</v>
      </c>
      <c r="E132">
        <f t="shared" ref="E132:I182" ca="1" si="8">$B$1*($B$2-E131)*$B$6+$B$3*SQRT(E131)*SQRT($B$6)*_xlfn.NORM.S.INV(RAND())+E131</f>
        <v>5.492024205478465E-2</v>
      </c>
      <c r="F132">
        <f t="shared" ca="1" si="8"/>
        <v>5.4893798027464774E-2</v>
      </c>
      <c r="G132">
        <f t="shared" ca="1" si="8"/>
        <v>5.4909029979168564E-2</v>
      </c>
      <c r="H132">
        <f t="shared" ca="1" si="8"/>
        <v>5.4881632732628256E-2</v>
      </c>
      <c r="I132">
        <f t="shared" ca="1" si="8"/>
        <v>5.4900242122293601E-2</v>
      </c>
      <c r="J132">
        <f t="shared" ca="1" si="7"/>
        <v>5.4910070054660129E-2</v>
      </c>
      <c r="K132">
        <f t="shared" ca="1" si="7"/>
        <v>5.4897646477784959E-2</v>
      </c>
      <c r="L132">
        <f t="shared" ca="1" si="7"/>
        <v>5.4890754204838445E-2</v>
      </c>
      <c r="M132">
        <f t="shared" ca="1" si="7"/>
        <v>5.4889990877760204E-2</v>
      </c>
      <c r="N132">
        <f t="shared" ca="1" si="7"/>
        <v>5.4872877954398117E-2</v>
      </c>
      <c r="O132" s="43"/>
    </row>
    <row r="133" spans="3:15" x14ac:dyDescent="0.2">
      <c r="C133" s="3"/>
      <c r="D133">
        <v>131</v>
      </c>
      <c r="E133">
        <f t="shared" ca="1" si="8"/>
        <v>5.4920758916902707E-2</v>
      </c>
      <c r="F133">
        <f t="shared" ca="1" si="8"/>
        <v>5.4894573910226396E-2</v>
      </c>
      <c r="G133">
        <f t="shared" ca="1" si="8"/>
        <v>5.4907460341088885E-2</v>
      </c>
      <c r="H133">
        <f t="shared" ca="1" si="8"/>
        <v>5.4880008787748839E-2</v>
      </c>
      <c r="I133">
        <f t="shared" ca="1" si="8"/>
        <v>5.490088083276895E-2</v>
      </c>
      <c r="J133">
        <f t="shared" ca="1" si="7"/>
        <v>5.4907605955154232E-2</v>
      </c>
      <c r="K133">
        <f t="shared" ca="1" si="7"/>
        <v>5.489764260604757E-2</v>
      </c>
      <c r="L133">
        <f t="shared" ca="1" si="7"/>
        <v>5.4893171718733307E-2</v>
      </c>
      <c r="M133">
        <f t="shared" ca="1" si="7"/>
        <v>5.4892879588212082E-2</v>
      </c>
      <c r="N133">
        <f t="shared" ca="1" si="7"/>
        <v>5.4875891395492829E-2</v>
      </c>
      <c r="O133" s="43"/>
    </row>
    <row r="134" spans="3:15" x14ac:dyDescent="0.2">
      <c r="C134" s="3"/>
      <c r="D134">
        <v>132</v>
      </c>
      <c r="E134">
        <f t="shared" ca="1" si="8"/>
        <v>5.491409117330244E-2</v>
      </c>
      <c r="F134">
        <f t="shared" ca="1" si="8"/>
        <v>5.4892364102892749E-2</v>
      </c>
      <c r="G134">
        <f t="shared" ca="1" si="8"/>
        <v>5.4900400523358539E-2</v>
      </c>
      <c r="H134">
        <f t="shared" ca="1" si="8"/>
        <v>5.4878839310659559E-2</v>
      </c>
      <c r="I134">
        <f t="shared" ca="1" si="8"/>
        <v>5.489827402725643E-2</v>
      </c>
      <c r="J134">
        <f t="shared" ca="1" si="7"/>
        <v>5.4909024458621419E-2</v>
      </c>
      <c r="K134">
        <f t="shared" ca="1" si="7"/>
        <v>5.4896502248295599E-2</v>
      </c>
      <c r="L134">
        <f t="shared" ca="1" si="7"/>
        <v>5.4893764734970887E-2</v>
      </c>
      <c r="M134">
        <f t="shared" ca="1" si="7"/>
        <v>5.4892539308906314E-2</v>
      </c>
      <c r="N134">
        <f t="shared" ca="1" si="7"/>
        <v>5.4873470002155741E-2</v>
      </c>
      <c r="O134" s="43"/>
    </row>
    <row r="135" spans="3:15" x14ac:dyDescent="0.2">
      <c r="C135" s="3"/>
      <c r="D135">
        <v>133</v>
      </c>
      <c r="E135">
        <f t="shared" ca="1" si="8"/>
        <v>5.4912029970694061E-2</v>
      </c>
      <c r="F135">
        <f t="shared" ca="1" si="8"/>
        <v>5.4896298952210328E-2</v>
      </c>
      <c r="G135">
        <f t="shared" ca="1" si="8"/>
        <v>5.4899238932924976E-2</v>
      </c>
      <c r="H135">
        <f t="shared" ca="1" si="8"/>
        <v>5.4879139822979969E-2</v>
      </c>
      <c r="I135">
        <f t="shared" ca="1" si="8"/>
        <v>5.4900976663794634E-2</v>
      </c>
      <c r="J135">
        <f t="shared" ca="1" si="7"/>
        <v>5.4908473071353887E-2</v>
      </c>
      <c r="K135">
        <f t="shared" ca="1" si="7"/>
        <v>5.4897868661917128E-2</v>
      </c>
      <c r="L135">
        <f t="shared" ca="1" si="7"/>
        <v>5.4889192448288375E-2</v>
      </c>
      <c r="M135">
        <f t="shared" ca="1" si="7"/>
        <v>5.4898715622250023E-2</v>
      </c>
      <c r="N135">
        <f t="shared" ca="1" si="7"/>
        <v>5.4873881094639289E-2</v>
      </c>
      <c r="O135" s="43"/>
    </row>
    <row r="136" spans="3:15" x14ac:dyDescent="0.2">
      <c r="C136" s="3"/>
      <c r="D136">
        <v>134</v>
      </c>
      <c r="E136">
        <f t="shared" ca="1" si="8"/>
        <v>5.4910789981025616E-2</v>
      </c>
      <c r="F136">
        <f t="shared" ca="1" si="8"/>
        <v>5.4896869138398127E-2</v>
      </c>
      <c r="G136">
        <f t="shared" ca="1" si="8"/>
        <v>5.4896489402818938E-2</v>
      </c>
      <c r="H136">
        <f t="shared" ca="1" si="8"/>
        <v>5.4883298283381503E-2</v>
      </c>
      <c r="I136">
        <f t="shared" ca="1" si="8"/>
        <v>5.4899007037635464E-2</v>
      </c>
      <c r="J136">
        <f t="shared" ca="1" si="7"/>
        <v>5.4905836720906154E-2</v>
      </c>
      <c r="K136">
        <f t="shared" ca="1" si="7"/>
        <v>5.4900726880123353E-2</v>
      </c>
      <c r="L136">
        <f t="shared" ca="1" si="7"/>
        <v>5.4891214891822138E-2</v>
      </c>
      <c r="M136">
        <f t="shared" ca="1" si="7"/>
        <v>5.4901389921300704E-2</v>
      </c>
      <c r="N136">
        <f t="shared" ca="1" si="7"/>
        <v>5.487015612525984E-2</v>
      </c>
      <c r="O136" s="43"/>
    </row>
    <row r="137" spans="3:15" x14ac:dyDescent="0.2">
      <c r="C137" s="3"/>
      <c r="D137">
        <v>135</v>
      </c>
      <c r="E137">
        <f t="shared" ca="1" si="8"/>
        <v>5.4910189137626693E-2</v>
      </c>
      <c r="F137">
        <f t="shared" ca="1" si="8"/>
        <v>5.4902783429109585E-2</v>
      </c>
      <c r="G137">
        <f t="shared" ca="1" si="8"/>
        <v>5.4900954410462131E-2</v>
      </c>
      <c r="H137">
        <f t="shared" ca="1" si="8"/>
        <v>5.4882235978849732E-2</v>
      </c>
      <c r="I137">
        <f t="shared" ca="1" si="8"/>
        <v>5.4901666107687465E-2</v>
      </c>
      <c r="J137">
        <f t="shared" ca="1" si="7"/>
        <v>5.4904725635296796E-2</v>
      </c>
      <c r="K137">
        <f t="shared" ca="1" si="7"/>
        <v>5.4902031827173348E-2</v>
      </c>
      <c r="L137">
        <f t="shared" ca="1" si="7"/>
        <v>5.4892511872431E-2</v>
      </c>
      <c r="M137">
        <f t="shared" ca="1" si="7"/>
        <v>5.4901089255867445E-2</v>
      </c>
      <c r="N137">
        <f t="shared" ca="1" si="7"/>
        <v>5.4870151411116244E-2</v>
      </c>
      <c r="O137" s="43"/>
    </row>
    <row r="138" spans="3:15" x14ac:dyDescent="0.2">
      <c r="C138" s="3"/>
      <c r="D138">
        <v>136</v>
      </c>
      <c r="E138">
        <f t="shared" ca="1" si="8"/>
        <v>5.4905526051245525E-2</v>
      </c>
      <c r="F138">
        <f t="shared" ca="1" si="8"/>
        <v>5.4901461507357772E-2</v>
      </c>
      <c r="G138">
        <f t="shared" ca="1" si="8"/>
        <v>5.4905188598693568E-2</v>
      </c>
      <c r="H138">
        <f t="shared" ca="1" si="8"/>
        <v>5.4882129287158479E-2</v>
      </c>
      <c r="I138">
        <f t="shared" ca="1" si="8"/>
        <v>5.4904149543843137E-2</v>
      </c>
      <c r="J138">
        <f t="shared" ca="1" si="7"/>
        <v>5.4905580300939484E-2</v>
      </c>
      <c r="K138">
        <f t="shared" ca="1" si="7"/>
        <v>5.4906663448243673E-2</v>
      </c>
      <c r="L138">
        <f t="shared" ca="1" si="7"/>
        <v>5.4896475743584167E-2</v>
      </c>
      <c r="M138">
        <f t="shared" ca="1" si="7"/>
        <v>5.4898714409823676E-2</v>
      </c>
      <c r="N138">
        <f t="shared" ca="1" si="7"/>
        <v>5.4871718676228767E-2</v>
      </c>
      <c r="O138" s="43"/>
    </row>
    <row r="139" spans="3:15" x14ac:dyDescent="0.2">
      <c r="C139" s="3"/>
      <c r="D139">
        <v>137</v>
      </c>
      <c r="E139">
        <f t="shared" ca="1" si="8"/>
        <v>5.490314665504837E-2</v>
      </c>
      <c r="F139">
        <f t="shared" ca="1" si="8"/>
        <v>5.4897126839445531E-2</v>
      </c>
      <c r="G139">
        <f t="shared" ca="1" si="8"/>
        <v>5.4905142201949496E-2</v>
      </c>
      <c r="H139">
        <f t="shared" ca="1" si="8"/>
        <v>5.4883341445559675E-2</v>
      </c>
      <c r="I139">
        <f t="shared" ca="1" si="8"/>
        <v>5.4908111373073498E-2</v>
      </c>
      <c r="J139">
        <f t="shared" ca="1" si="7"/>
        <v>5.4904108217839989E-2</v>
      </c>
      <c r="K139">
        <f t="shared" ca="1" si="7"/>
        <v>5.4907559093837689E-2</v>
      </c>
      <c r="L139">
        <f t="shared" ca="1" si="7"/>
        <v>5.4898264229659446E-2</v>
      </c>
      <c r="M139">
        <f t="shared" ca="1" si="7"/>
        <v>5.4902015219876352E-2</v>
      </c>
      <c r="N139">
        <f t="shared" ca="1" si="7"/>
        <v>5.487139800071307E-2</v>
      </c>
      <c r="O139" s="43"/>
    </row>
    <row r="140" spans="3:15" x14ac:dyDescent="0.2">
      <c r="C140" s="3"/>
      <c r="D140">
        <v>138</v>
      </c>
      <c r="E140">
        <f t="shared" ca="1" si="8"/>
        <v>5.4901480047869371E-2</v>
      </c>
      <c r="F140">
        <f t="shared" ca="1" si="8"/>
        <v>5.4898426728355765E-2</v>
      </c>
      <c r="G140">
        <f t="shared" ca="1" si="8"/>
        <v>5.4907506090378672E-2</v>
      </c>
      <c r="H140">
        <f t="shared" ca="1" si="8"/>
        <v>5.4879424112828777E-2</v>
      </c>
      <c r="I140">
        <f t="shared" ca="1" si="8"/>
        <v>5.4908339468160712E-2</v>
      </c>
      <c r="J140">
        <f t="shared" ca="1" si="7"/>
        <v>5.4900501978319485E-2</v>
      </c>
      <c r="K140">
        <f t="shared" ca="1" si="7"/>
        <v>5.490727104646171E-2</v>
      </c>
      <c r="L140">
        <f t="shared" ca="1" si="7"/>
        <v>5.4897447745823912E-2</v>
      </c>
      <c r="M140">
        <f t="shared" ca="1" si="7"/>
        <v>5.4900227523059023E-2</v>
      </c>
      <c r="N140">
        <f t="shared" ca="1" si="7"/>
        <v>5.4872285398602311E-2</v>
      </c>
      <c r="O140" s="43"/>
    </row>
    <row r="141" spans="3:15" x14ac:dyDescent="0.2">
      <c r="C141" s="3"/>
      <c r="D141">
        <v>139</v>
      </c>
      <c r="E141">
        <f t="shared" ca="1" si="8"/>
        <v>5.4898349006761542E-2</v>
      </c>
      <c r="F141">
        <f t="shared" ca="1" si="8"/>
        <v>5.4899954636858997E-2</v>
      </c>
      <c r="G141">
        <f t="shared" ca="1" si="8"/>
        <v>5.4906363402494496E-2</v>
      </c>
      <c r="H141">
        <f t="shared" ca="1" si="8"/>
        <v>5.4881877932566575E-2</v>
      </c>
      <c r="I141">
        <f t="shared" ca="1" si="8"/>
        <v>5.4905913192950559E-2</v>
      </c>
      <c r="J141">
        <f t="shared" ca="1" si="7"/>
        <v>5.4899610598791483E-2</v>
      </c>
      <c r="K141">
        <f t="shared" ca="1" si="7"/>
        <v>5.4903642152980381E-2</v>
      </c>
      <c r="L141">
        <f t="shared" ca="1" si="7"/>
        <v>5.4895798449927487E-2</v>
      </c>
      <c r="M141">
        <f t="shared" ca="1" si="7"/>
        <v>5.4905253579652563E-2</v>
      </c>
      <c r="N141">
        <f t="shared" ca="1" si="7"/>
        <v>5.4872274232164328E-2</v>
      </c>
      <c r="O141" s="43"/>
    </row>
    <row r="142" spans="3:15" x14ac:dyDescent="0.2">
      <c r="C142" s="3"/>
      <c r="D142">
        <v>140</v>
      </c>
      <c r="E142">
        <f t="shared" ca="1" si="8"/>
        <v>5.4899786675904061E-2</v>
      </c>
      <c r="F142">
        <f t="shared" ca="1" si="8"/>
        <v>5.4901078992830504E-2</v>
      </c>
      <c r="G142">
        <f t="shared" ca="1" si="8"/>
        <v>5.4898896183644311E-2</v>
      </c>
      <c r="H142">
        <f t="shared" ca="1" si="8"/>
        <v>5.488269797993027E-2</v>
      </c>
      <c r="I142">
        <f t="shared" ca="1" si="8"/>
        <v>5.4902393555890244E-2</v>
      </c>
      <c r="J142">
        <f t="shared" ca="1" si="7"/>
        <v>5.4899959645585979E-2</v>
      </c>
      <c r="K142">
        <f t="shared" ca="1" si="7"/>
        <v>5.4904163715794929E-2</v>
      </c>
      <c r="L142">
        <f t="shared" ca="1" si="7"/>
        <v>5.4897224919720079E-2</v>
      </c>
      <c r="M142">
        <f t="shared" ca="1" si="7"/>
        <v>5.4908244076893431E-2</v>
      </c>
      <c r="N142">
        <f t="shared" ca="1" si="7"/>
        <v>5.4874570365227936E-2</v>
      </c>
      <c r="O142" s="43"/>
    </row>
    <row r="143" spans="3:15" x14ac:dyDescent="0.2">
      <c r="C143" s="3"/>
      <c r="D143">
        <v>141</v>
      </c>
      <c r="E143">
        <f t="shared" ca="1" si="8"/>
        <v>5.4900319483329803E-2</v>
      </c>
      <c r="F143">
        <f t="shared" ca="1" si="8"/>
        <v>5.4904668926849094E-2</v>
      </c>
      <c r="G143">
        <f t="shared" ca="1" si="8"/>
        <v>5.4900009377140714E-2</v>
      </c>
      <c r="H143">
        <f t="shared" ca="1" si="8"/>
        <v>5.4881700107462052E-2</v>
      </c>
      <c r="I143">
        <f t="shared" ca="1" si="8"/>
        <v>5.4904679654167038E-2</v>
      </c>
      <c r="J143">
        <f t="shared" ca="1" si="7"/>
        <v>5.4902232813366134E-2</v>
      </c>
      <c r="K143">
        <f t="shared" ca="1" si="7"/>
        <v>5.4903915544078488E-2</v>
      </c>
      <c r="L143">
        <f t="shared" ca="1" si="7"/>
        <v>5.4899395889679507E-2</v>
      </c>
      <c r="M143">
        <f t="shared" ca="1" si="7"/>
        <v>5.4904563719175979E-2</v>
      </c>
      <c r="N143">
        <f t="shared" ca="1" si="7"/>
        <v>5.4877547539044391E-2</v>
      </c>
      <c r="O143" s="43"/>
    </row>
    <row r="144" spans="3:15" x14ac:dyDescent="0.2">
      <c r="C144" s="3"/>
      <c r="D144">
        <v>142</v>
      </c>
      <c r="E144">
        <f t="shared" ca="1" si="8"/>
        <v>5.4903438821333229E-2</v>
      </c>
      <c r="F144">
        <f t="shared" ca="1" si="8"/>
        <v>5.4901992226450674E-2</v>
      </c>
      <c r="G144">
        <f t="shared" ca="1" si="8"/>
        <v>5.4900021206471625E-2</v>
      </c>
      <c r="H144">
        <f t="shared" ca="1" si="8"/>
        <v>5.4884069389569641E-2</v>
      </c>
      <c r="I144">
        <f t="shared" ca="1" si="8"/>
        <v>5.4908107847422456E-2</v>
      </c>
      <c r="J144">
        <f t="shared" ca="1" si="7"/>
        <v>5.4906502195309105E-2</v>
      </c>
      <c r="K144">
        <f t="shared" ca="1" si="7"/>
        <v>5.4906334306362915E-2</v>
      </c>
      <c r="L144">
        <f t="shared" ca="1" si="7"/>
        <v>5.4905813107025518E-2</v>
      </c>
      <c r="M144">
        <f t="shared" ca="1" si="7"/>
        <v>5.490155429865147E-2</v>
      </c>
      <c r="N144">
        <f t="shared" ca="1" si="7"/>
        <v>5.48787939399734E-2</v>
      </c>
      <c r="O144" s="43"/>
    </row>
    <row r="145" spans="3:15" x14ac:dyDescent="0.2">
      <c r="C145" s="3"/>
      <c r="D145">
        <v>143</v>
      </c>
      <c r="E145">
        <f t="shared" ca="1" si="8"/>
        <v>5.4902729876365304E-2</v>
      </c>
      <c r="F145">
        <f t="shared" ca="1" si="8"/>
        <v>5.490242284312543E-2</v>
      </c>
      <c r="G145">
        <f t="shared" ca="1" si="8"/>
        <v>5.4900577972821121E-2</v>
      </c>
      <c r="H145">
        <f t="shared" ca="1" si="8"/>
        <v>5.4880842436232813E-2</v>
      </c>
      <c r="I145">
        <f t="shared" ca="1" si="8"/>
        <v>5.4909805826958195E-2</v>
      </c>
      <c r="J145">
        <f t="shared" ca="1" si="7"/>
        <v>5.4908952352857053E-2</v>
      </c>
      <c r="K145">
        <f t="shared" ca="1" si="7"/>
        <v>5.4905401597876047E-2</v>
      </c>
      <c r="L145">
        <f t="shared" ca="1" si="7"/>
        <v>5.4905640340380153E-2</v>
      </c>
      <c r="M145">
        <f t="shared" ca="1" si="7"/>
        <v>5.4902221326329277E-2</v>
      </c>
      <c r="N145">
        <f t="shared" ca="1" si="7"/>
        <v>5.4882024072034082E-2</v>
      </c>
      <c r="O145" s="43"/>
    </row>
    <row r="146" spans="3:15" x14ac:dyDescent="0.2">
      <c r="C146" s="3"/>
      <c r="D146">
        <v>144</v>
      </c>
      <c r="E146">
        <f t="shared" ca="1" si="8"/>
        <v>5.4903523158228038E-2</v>
      </c>
      <c r="F146">
        <f t="shared" ca="1" si="8"/>
        <v>5.4901412698067566E-2</v>
      </c>
      <c r="G146">
        <f t="shared" ca="1" si="8"/>
        <v>5.4903056069087706E-2</v>
      </c>
      <c r="H146">
        <f t="shared" ca="1" si="8"/>
        <v>5.4881801258051921E-2</v>
      </c>
      <c r="I146">
        <f t="shared" ca="1" si="8"/>
        <v>5.4909717387497836E-2</v>
      </c>
      <c r="J146">
        <f t="shared" ca="1" si="7"/>
        <v>5.4909688135559354E-2</v>
      </c>
      <c r="K146">
        <f t="shared" ca="1" si="7"/>
        <v>5.4903151014613051E-2</v>
      </c>
      <c r="L146">
        <f t="shared" ca="1" si="7"/>
        <v>5.490754657811265E-2</v>
      </c>
      <c r="M146">
        <f t="shared" ca="1" si="7"/>
        <v>5.4900647415193383E-2</v>
      </c>
      <c r="N146">
        <f t="shared" ca="1" si="7"/>
        <v>5.4884427421260699E-2</v>
      </c>
      <c r="O146" s="43"/>
    </row>
    <row r="147" spans="3:15" x14ac:dyDescent="0.2">
      <c r="C147" s="3"/>
      <c r="D147">
        <v>145</v>
      </c>
      <c r="E147">
        <f t="shared" ca="1" si="8"/>
        <v>5.4898796804583323E-2</v>
      </c>
      <c r="F147">
        <f t="shared" ca="1" si="8"/>
        <v>5.4902149769203532E-2</v>
      </c>
      <c r="G147">
        <f t="shared" ca="1" si="8"/>
        <v>5.4899081565185567E-2</v>
      </c>
      <c r="H147">
        <f t="shared" ca="1" si="8"/>
        <v>5.4878581710919368E-2</v>
      </c>
      <c r="I147">
        <f t="shared" ca="1" si="8"/>
        <v>5.4909371552071505E-2</v>
      </c>
      <c r="J147">
        <f t="shared" ca="1" si="7"/>
        <v>5.4910915716721888E-2</v>
      </c>
      <c r="K147">
        <f t="shared" ca="1" si="7"/>
        <v>5.490405342529453E-2</v>
      </c>
      <c r="L147">
        <f t="shared" ca="1" si="7"/>
        <v>5.4904208839771033E-2</v>
      </c>
      <c r="M147">
        <f t="shared" ca="1" si="7"/>
        <v>5.4901316810878197E-2</v>
      </c>
      <c r="N147">
        <f t="shared" ca="1" si="7"/>
        <v>5.4889061747339492E-2</v>
      </c>
      <c r="O147" s="43"/>
    </row>
    <row r="148" spans="3:15" x14ac:dyDescent="0.2">
      <c r="C148" s="3"/>
      <c r="D148">
        <v>146</v>
      </c>
      <c r="E148">
        <f t="shared" ca="1" si="8"/>
        <v>5.4898284756514627E-2</v>
      </c>
      <c r="F148">
        <f t="shared" ca="1" si="8"/>
        <v>5.4899426747180957E-2</v>
      </c>
      <c r="G148">
        <f t="shared" ca="1" si="8"/>
        <v>5.4892982640952402E-2</v>
      </c>
      <c r="H148">
        <f t="shared" ca="1" si="8"/>
        <v>5.4875425074877353E-2</v>
      </c>
      <c r="I148">
        <f t="shared" ca="1" si="8"/>
        <v>5.4907615168682387E-2</v>
      </c>
      <c r="J148">
        <f t="shared" ca="1" si="7"/>
        <v>5.4911549709578657E-2</v>
      </c>
      <c r="K148">
        <f t="shared" ca="1" si="7"/>
        <v>5.4898866238501355E-2</v>
      </c>
      <c r="L148">
        <f t="shared" ca="1" si="7"/>
        <v>5.4904683638737455E-2</v>
      </c>
      <c r="M148">
        <f t="shared" ca="1" si="7"/>
        <v>5.4901435123606145E-2</v>
      </c>
      <c r="N148">
        <f t="shared" ca="1" si="7"/>
        <v>5.4891560710862479E-2</v>
      </c>
      <c r="O148" s="43"/>
    </row>
    <row r="149" spans="3:15" x14ac:dyDescent="0.2">
      <c r="C149" s="3"/>
      <c r="D149">
        <v>147</v>
      </c>
      <c r="E149">
        <f t="shared" ca="1" si="8"/>
        <v>5.489487699279804E-2</v>
      </c>
      <c r="F149">
        <f t="shared" ca="1" si="8"/>
        <v>5.4900782445159516E-2</v>
      </c>
      <c r="G149">
        <f t="shared" ca="1" si="8"/>
        <v>5.4888520126303499E-2</v>
      </c>
      <c r="H149">
        <f t="shared" ca="1" si="8"/>
        <v>5.4873803366850792E-2</v>
      </c>
      <c r="I149">
        <f t="shared" ca="1" si="8"/>
        <v>5.4909281944583943E-2</v>
      </c>
      <c r="J149">
        <f t="shared" ca="1" si="7"/>
        <v>5.4906033476138587E-2</v>
      </c>
      <c r="K149">
        <f t="shared" ca="1" si="7"/>
        <v>5.4900091474458866E-2</v>
      </c>
      <c r="L149">
        <f t="shared" ca="1" si="7"/>
        <v>5.4905190613295005E-2</v>
      </c>
      <c r="M149">
        <f t="shared" ca="1" si="7"/>
        <v>5.4899010585676186E-2</v>
      </c>
      <c r="N149">
        <f t="shared" ca="1" si="7"/>
        <v>5.489432654773603E-2</v>
      </c>
      <c r="O149" s="43"/>
    </row>
    <row r="150" spans="3:15" x14ac:dyDescent="0.2">
      <c r="C150" s="3"/>
      <c r="D150">
        <v>148</v>
      </c>
      <c r="E150">
        <f t="shared" ca="1" si="8"/>
        <v>5.4893174275342925E-2</v>
      </c>
      <c r="F150">
        <f t="shared" ca="1" si="8"/>
        <v>5.4899057359613333E-2</v>
      </c>
      <c r="G150">
        <f t="shared" ca="1" si="8"/>
        <v>5.4892684877600968E-2</v>
      </c>
      <c r="H150">
        <f t="shared" ca="1" si="8"/>
        <v>5.4874011661002919E-2</v>
      </c>
      <c r="I150">
        <f t="shared" ca="1" si="8"/>
        <v>5.4910011079296481E-2</v>
      </c>
      <c r="J150">
        <f t="shared" ca="1" si="7"/>
        <v>5.4903683310480594E-2</v>
      </c>
      <c r="K150">
        <f t="shared" ca="1" si="7"/>
        <v>5.4905220869890317E-2</v>
      </c>
      <c r="L150">
        <f t="shared" ca="1" si="7"/>
        <v>5.4902469217330392E-2</v>
      </c>
      <c r="M150">
        <f t="shared" ca="1" si="7"/>
        <v>5.4900561470171208E-2</v>
      </c>
      <c r="N150">
        <f t="shared" ca="1" si="7"/>
        <v>5.4894069926550521E-2</v>
      </c>
      <c r="O150" s="43"/>
    </row>
    <row r="151" spans="3:15" x14ac:dyDescent="0.2">
      <c r="C151" s="3"/>
      <c r="D151">
        <v>149</v>
      </c>
      <c r="E151">
        <f t="shared" ca="1" si="8"/>
        <v>5.4895686942830382E-2</v>
      </c>
      <c r="F151">
        <f t="shared" ca="1" si="8"/>
        <v>5.4892227675538474E-2</v>
      </c>
      <c r="G151">
        <f t="shared" ca="1" si="8"/>
        <v>5.4893637415099818E-2</v>
      </c>
      <c r="H151">
        <f t="shared" ca="1" si="8"/>
        <v>5.4879351784764691E-2</v>
      </c>
      <c r="I151">
        <f t="shared" ca="1" si="8"/>
        <v>5.4910328621256624E-2</v>
      </c>
      <c r="J151">
        <f t="shared" ca="1" si="7"/>
        <v>5.4898218329602198E-2</v>
      </c>
      <c r="K151">
        <f t="shared" ca="1" si="7"/>
        <v>5.4904803181720689E-2</v>
      </c>
      <c r="L151">
        <f t="shared" ca="1" si="7"/>
        <v>5.490283495696123E-2</v>
      </c>
      <c r="M151">
        <f t="shared" ca="1" si="7"/>
        <v>5.4904306765304944E-2</v>
      </c>
      <c r="N151">
        <f t="shared" ca="1" si="7"/>
        <v>5.4898737672558699E-2</v>
      </c>
      <c r="O151" s="43"/>
    </row>
    <row r="152" spans="3:15" x14ac:dyDescent="0.2">
      <c r="C152" s="3"/>
      <c r="D152">
        <v>150</v>
      </c>
      <c r="E152">
        <f t="shared" ca="1" si="8"/>
        <v>5.4891176966330585E-2</v>
      </c>
      <c r="F152">
        <f t="shared" ca="1" si="8"/>
        <v>5.4891087227873517E-2</v>
      </c>
      <c r="G152">
        <f t="shared" ca="1" si="8"/>
        <v>5.4897058794712295E-2</v>
      </c>
      <c r="H152">
        <f t="shared" ca="1" si="8"/>
        <v>5.4877479351795724E-2</v>
      </c>
      <c r="I152">
        <f t="shared" ca="1" si="8"/>
        <v>5.4911884867402158E-2</v>
      </c>
      <c r="J152">
        <f t="shared" ca="1" si="7"/>
        <v>5.490032621531956E-2</v>
      </c>
      <c r="K152">
        <f t="shared" ca="1" si="7"/>
        <v>5.4906984240278206E-2</v>
      </c>
      <c r="L152">
        <f t="shared" ca="1" si="7"/>
        <v>5.4903798204459522E-2</v>
      </c>
      <c r="M152">
        <f t="shared" ca="1" si="7"/>
        <v>5.4905816923435116E-2</v>
      </c>
      <c r="N152">
        <f t="shared" ca="1" si="7"/>
        <v>5.4900968569419735E-2</v>
      </c>
      <c r="O152" s="43"/>
    </row>
    <row r="153" spans="3:15" x14ac:dyDescent="0.2">
      <c r="C153" s="3"/>
      <c r="D153">
        <v>151</v>
      </c>
      <c r="E153">
        <f t="shared" ca="1" si="8"/>
        <v>5.4889940621006529E-2</v>
      </c>
      <c r="F153">
        <f t="shared" ca="1" si="8"/>
        <v>5.4886450739652988E-2</v>
      </c>
      <c r="G153">
        <f t="shared" ca="1" si="8"/>
        <v>5.489626699432238E-2</v>
      </c>
      <c r="H153">
        <f t="shared" ca="1" si="8"/>
        <v>5.4877113194290304E-2</v>
      </c>
      <c r="I153">
        <f t="shared" ca="1" si="8"/>
        <v>5.491640111236866E-2</v>
      </c>
      <c r="J153">
        <f t="shared" ca="1" si="7"/>
        <v>5.4899973574463572E-2</v>
      </c>
      <c r="K153">
        <f t="shared" ca="1" si="7"/>
        <v>5.4905169436297939E-2</v>
      </c>
      <c r="L153">
        <f t="shared" ca="1" si="7"/>
        <v>5.4904590632745887E-2</v>
      </c>
      <c r="M153">
        <f t="shared" ca="1" si="7"/>
        <v>5.4912029471801641E-2</v>
      </c>
      <c r="N153">
        <f t="shared" ca="1" si="7"/>
        <v>5.4901218666454782E-2</v>
      </c>
      <c r="O153" s="43"/>
    </row>
    <row r="154" spans="3:15" x14ac:dyDescent="0.2">
      <c r="C154" s="3"/>
      <c r="D154">
        <v>152</v>
      </c>
      <c r="E154">
        <f t="shared" ca="1" si="8"/>
        <v>5.4889304358371548E-2</v>
      </c>
      <c r="F154">
        <f t="shared" ca="1" si="8"/>
        <v>5.4892780523042181E-2</v>
      </c>
      <c r="G154">
        <f t="shared" ca="1" si="8"/>
        <v>5.489571148752867E-2</v>
      </c>
      <c r="H154">
        <f t="shared" ca="1" si="8"/>
        <v>5.4879386214398446E-2</v>
      </c>
      <c r="I154">
        <f t="shared" ca="1" si="8"/>
        <v>5.4922962299065368E-2</v>
      </c>
      <c r="J154">
        <f t="shared" ca="1" si="7"/>
        <v>5.4897334382559393E-2</v>
      </c>
      <c r="K154">
        <f t="shared" ca="1" si="7"/>
        <v>5.489991642090114E-2</v>
      </c>
      <c r="L154">
        <f t="shared" ca="1" si="7"/>
        <v>5.4908055325544755E-2</v>
      </c>
      <c r="M154">
        <f t="shared" ca="1" si="7"/>
        <v>5.4909443696889035E-2</v>
      </c>
      <c r="N154">
        <f t="shared" ca="1" si="7"/>
        <v>5.4906798393182701E-2</v>
      </c>
      <c r="O154" s="43"/>
    </row>
    <row r="155" spans="3:15" x14ac:dyDescent="0.2">
      <c r="C155" s="3"/>
      <c r="D155">
        <v>153</v>
      </c>
      <c r="E155">
        <f t="shared" ca="1" si="8"/>
        <v>5.4887695134440764E-2</v>
      </c>
      <c r="F155">
        <f t="shared" ca="1" si="8"/>
        <v>5.4889867573759188E-2</v>
      </c>
      <c r="G155">
        <f t="shared" ca="1" si="8"/>
        <v>5.4892899458952003E-2</v>
      </c>
      <c r="H155">
        <f t="shared" ca="1" si="8"/>
        <v>5.4879718506819074E-2</v>
      </c>
      <c r="I155">
        <f t="shared" ca="1" si="8"/>
        <v>5.492065431586203E-2</v>
      </c>
      <c r="J155">
        <f t="shared" ca="1" si="7"/>
        <v>5.4901136276722259E-2</v>
      </c>
      <c r="K155">
        <f t="shared" ca="1" si="7"/>
        <v>5.4900054703737031E-2</v>
      </c>
      <c r="L155">
        <f t="shared" ca="1" si="7"/>
        <v>5.4909404822779333E-2</v>
      </c>
      <c r="M155">
        <f t="shared" ca="1" si="7"/>
        <v>5.4903215024176617E-2</v>
      </c>
      <c r="N155">
        <f t="shared" ca="1" si="7"/>
        <v>5.4907485819893687E-2</v>
      </c>
      <c r="O155" s="43"/>
    </row>
    <row r="156" spans="3:15" x14ac:dyDescent="0.2">
      <c r="C156" s="3"/>
      <c r="D156">
        <v>154</v>
      </c>
      <c r="E156">
        <f t="shared" ca="1" si="8"/>
        <v>5.4888080193100042E-2</v>
      </c>
      <c r="F156">
        <f t="shared" ca="1" si="8"/>
        <v>5.4887712991933298E-2</v>
      </c>
      <c r="G156">
        <f t="shared" ca="1" si="8"/>
        <v>5.4889105511982027E-2</v>
      </c>
      <c r="H156">
        <f t="shared" ca="1" si="8"/>
        <v>5.4881919272921749E-2</v>
      </c>
      <c r="I156">
        <f t="shared" ca="1" si="8"/>
        <v>5.4920399716529594E-2</v>
      </c>
      <c r="J156">
        <f t="shared" ca="1" si="7"/>
        <v>5.4901208375224803E-2</v>
      </c>
      <c r="K156">
        <f t="shared" ca="1" si="7"/>
        <v>5.4899059475265639E-2</v>
      </c>
      <c r="L156">
        <f t="shared" ca="1" si="7"/>
        <v>5.4910453979244725E-2</v>
      </c>
      <c r="M156">
        <f t="shared" ca="1" si="7"/>
        <v>5.4897662213740886E-2</v>
      </c>
      <c r="N156">
        <f t="shared" ca="1" si="7"/>
        <v>5.4905693806094585E-2</v>
      </c>
      <c r="O156" s="43"/>
    </row>
    <row r="157" spans="3:15" x14ac:dyDescent="0.2">
      <c r="C157" s="3"/>
      <c r="D157">
        <v>155</v>
      </c>
      <c r="E157">
        <f t="shared" ca="1" si="8"/>
        <v>5.4886022142891767E-2</v>
      </c>
      <c r="F157">
        <f t="shared" ca="1" si="8"/>
        <v>5.4884233133834066E-2</v>
      </c>
      <c r="G157">
        <f t="shared" ca="1" si="8"/>
        <v>5.4890575656290221E-2</v>
      </c>
      <c r="H157">
        <f t="shared" ca="1" si="8"/>
        <v>5.4882928367377258E-2</v>
      </c>
      <c r="I157">
        <f t="shared" ca="1" si="8"/>
        <v>5.4914246216263514E-2</v>
      </c>
      <c r="J157">
        <f t="shared" ca="1" si="7"/>
        <v>5.4902903236018902E-2</v>
      </c>
      <c r="K157">
        <f t="shared" ca="1" si="7"/>
        <v>5.4899226726796625E-2</v>
      </c>
      <c r="L157">
        <f t="shared" ca="1" si="7"/>
        <v>5.4909893586472788E-2</v>
      </c>
      <c r="M157">
        <f t="shared" ca="1" si="7"/>
        <v>5.4897531537530291E-2</v>
      </c>
      <c r="N157">
        <f t="shared" ca="1" si="7"/>
        <v>5.4900477049538605E-2</v>
      </c>
      <c r="O157" s="43"/>
    </row>
    <row r="158" spans="3:15" x14ac:dyDescent="0.2">
      <c r="C158" s="3"/>
      <c r="D158">
        <v>156</v>
      </c>
      <c r="E158">
        <f t="shared" ca="1" si="8"/>
        <v>5.4886653468030351E-2</v>
      </c>
      <c r="F158">
        <f t="shared" ca="1" si="8"/>
        <v>5.4882168756082914E-2</v>
      </c>
      <c r="G158">
        <f t="shared" ca="1" si="8"/>
        <v>5.4886929686325116E-2</v>
      </c>
      <c r="H158">
        <f t="shared" ca="1" si="8"/>
        <v>5.4882492192946344E-2</v>
      </c>
      <c r="I158">
        <f t="shared" ca="1" si="8"/>
        <v>5.4914586663152271E-2</v>
      </c>
      <c r="J158">
        <f t="shared" ca="1" si="7"/>
        <v>5.4901245834062057E-2</v>
      </c>
      <c r="K158">
        <f t="shared" ca="1" si="7"/>
        <v>5.4897510513193824E-2</v>
      </c>
      <c r="L158">
        <f t="shared" ca="1" si="7"/>
        <v>5.491186929247837E-2</v>
      </c>
      <c r="M158">
        <f t="shared" ca="1" si="7"/>
        <v>5.4899934795094342E-2</v>
      </c>
      <c r="N158">
        <f t="shared" ca="1" si="7"/>
        <v>5.4899680491524855E-2</v>
      </c>
      <c r="O158" s="43"/>
    </row>
    <row r="159" spans="3:15" x14ac:dyDescent="0.2">
      <c r="C159" s="3"/>
      <c r="D159">
        <v>157</v>
      </c>
      <c r="E159">
        <f t="shared" ca="1" si="8"/>
        <v>5.4883020527746899E-2</v>
      </c>
      <c r="F159">
        <f t="shared" ca="1" si="8"/>
        <v>5.4882236204827288E-2</v>
      </c>
      <c r="G159">
        <f t="shared" ca="1" si="8"/>
        <v>5.488629633316304E-2</v>
      </c>
      <c r="H159">
        <f t="shared" ca="1" si="8"/>
        <v>5.4883207117400586E-2</v>
      </c>
      <c r="I159">
        <f t="shared" ca="1" si="8"/>
        <v>5.4919293967700768E-2</v>
      </c>
      <c r="J159">
        <f t="shared" ca="1" si="7"/>
        <v>5.4904671999259906E-2</v>
      </c>
      <c r="K159">
        <f t="shared" ca="1" si="7"/>
        <v>5.4898087949943546E-2</v>
      </c>
      <c r="L159">
        <f t="shared" ca="1" si="7"/>
        <v>5.4909561776804824E-2</v>
      </c>
      <c r="M159">
        <f t="shared" ca="1" si="7"/>
        <v>5.4902035619458042E-2</v>
      </c>
      <c r="N159">
        <f t="shared" ca="1" si="7"/>
        <v>5.4893457667300631E-2</v>
      </c>
      <c r="O159" s="43"/>
    </row>
    <row r="160" spans="3:15" x14ac:dyDescent="0.2">
      <c r="C160" s="3"/>
      <c r="D160">
        <v>158</v>
      </c>
      <c r="E160">
        <f t="shared" ca="1" si="8"/>
        <v>5.4880844644294581E-2</v>
      </c>
      <c r="F160">
        <f t="shared" ca="1" si="8"/>
        <v>5.4880394607078255E-2</v>
      </c>
      <c r="G160">
        <f t="shared" ca="1" si="8"/>
        <v>5.4884555334220021E-2</v>
      </c>
      <c r="H160">
        <f t="shared" ca="1" si="8"/>
        <v>5.4882174858969769E-2</v>
      </c>
      <c r="I160">
        <f t="shared" ca="1" si="8"/>
        <v>5.4920637362209854E-2</v>
      </c>
      <c r="J160">
        <f t="shared" ca="1" si="7"/>
        <v>5.4904890368190976E-2</v>
      </c>
      <c r="K160">
        <f t="shared" ca="1" si="7"/>
        <v>5.4893138378828879E-2</v>
      </c>
      <c r="L160">
        <f t="shared" ca="1" si="7"/>
        <v>5.490957811155546E-2</v>
      </c>
      <c r="M160">
        <f t="shared" ca="1" si="7"/>
        <v>5.490323691946631E-2</v>
      </c>
      <c r="N160">
        <f t="shared" ca="1" si="7"/>
        <v>5.48866548680512E-2</v>
      </c>
      <c r="O160" s="43"/>
    </row>
    <row r="161" spans="3:15" x14ac:dyDescent="0.2">
      <c r="C161" s="3"/>
      <c r="D161">
        <v>159</v>
      </c>
      <c r="E161">
        <f t="shared" ca="1" si="8"/>
        <v>5.4884103832674745E-2</v>
      </c>
      <c r="F161">
        <f t="shared" ca="1" si="8"/>
        <v>5.4878844111275457E-2</v>
      </c>
      <c r="G161">
        <f t="shared" ca="1" si="8"/>
        <v>5.4887461639269629E-2</v>
      </c>
      <c r="H161">
        <f t="shared" ca="1" si="8"/>
        <v>5.4878183778474102E-2</v>
      </c>
      <c r="I161">
        <f t="shared" ca="1" si="8"/>
        <v>5.4924071256336603E-2</v>
      </c>
      <c r="J161">
        <f t="shared" ca="1" si="7"/>
        <v>5.4907296453527175E-2</v>
      </c>
      <c r="K161">
        <f t="shared" ca="1" si="7"/>
        <v>5.4894696055465812E-2</v>
      </c>
      <c r="L161">
        <f t="shared" ca="1" si="7"/>
        <v>5.4907154353804784E-2</v>
      </c>
      <c r="M161">
        <f t="shared" ca="1" si="7"/>
        <v>5.4901483774310499E-2</v>
      </c>
      <c r="N161">
        <f t="shared" ca="1" si="7"/>
        <v>5.4885470548693575E-2</v>
      </c>
      <c r="O161" s="43"/>
    </row>
    <row r="162" spans="3:15" x14ac:dyDescent="0.2">
      <c r="C162" s="3"/>
      <c r="D162">
        <v>160</v>
      </c>
      <c r="E162">
        <f t="shared" ca="1" si="8"/>
        <v>5.488374204573733E-2</v>
      </c>
      <c r="F162">
        <f t="shared" ca="1" si="8"/>
        <v>5.4878374525651433E-2</v>
      </c>
      <c r="G162">
        <f t="shared" ca="1" si="8"/>
        <v>5.4888522804292898E-2</v>
      </c>
      <c r="H162">
        <f t="shared" ca="1" si="8"/>
        <v>5.4879487244517779E-2</v>
      </c>
      <c r="I162">
        <f t="shared" ca="1" si="8"/>
        <v>5.4926522831372296E-2</v>
      </c>
      <c r="J162">
        <f t="shared" ca="1" si="7"/>
        <v>5.4905411346638101E-2</v>
      </c>
      <c r="K162">
        <f t="shared" ca="1" si="7"/>
        <v>5.4898300200907607E-2</v>
      </c>
      <c r="L162">
        <f t="shared" ca="1" si="7"/>
        <v>5.4910425123090773E-2</v>
      </c>
      <c r="M162">
        <f t="shared" ca="1" si="7"/>
        <v>5.4902327362578565E-2</v>
      </c>
      <c r="N162">
        <f t="shared" ca="1" si="7"/>
        <v>5.4888088125863654E-2</v>
      </c>
      <c r="O162" s="43"/>
    </row>
    <row r="163" spans="3:15" x14ac:dyDescent="0.2">
      <c r="C163" s="3"/>
      <c r="D163">
        <v>161</v>
      </c>
      <c r="E163">
        <f t="shared" ca="1" si="8"/>
        <v>5.4880550779507618E-2</v>
      </c>
      <c r="F163">
        <f t="shared" ca="1" si="8"/>
        <v>5.4880695449235926E-2</v>
      </c>
      <c r="G163">
        <f t="shared" ca="1" si="8"/>
        <v>5.4889463938244974E-2</v>
      </c>
      <c r="H163">
        <f t="shared" ca="1" si="8"/>
        <v>5.4880265391346633E-2</v>
      </c>
      <c r="I163">
        <f t="shared" ca="1" si="8"/>
        <v>5.4927293921575325E-2</v>
      </c>
      <c r="J163">
        <f t="shared" ca="1" si="7"/>
        <v>5.4902947171948956E-2</v>
      </c>
      <c r="K163">
        <f t="shared" ca="1" si="7"/>
        <v>5.4893741785381582E-2</v>
      </c>
      <c r="L163">
        <f t="shared" ca="1" si="7"/>
        <v>5.4903695109810441E-2</v>
      </c>
      <c r="M163">
        <f t="shared" ca="1" si="7"/>
        <v>5.48990015486924E-2</v>
      </c>
      <c r="N163">
        <f t="shared" ca="1" si="7"/>
        <v>5.4888443648842433E-2</v>
      </c>
      <c r="O163" s="43"/>
    </row>
    <row r="164" spans="3:15" x14ac:dyDescent="0.2">
      <c r="C164" s="3"/>
      <c r="D164">
        <v>162</v>
      </c>
      <c r="E164">
        <f t="shared" ca="1" si="8"/>
        <v>5.4882023467968215E-2</v>
      </c>
      <c r="F164">
        <f t="shared" ca="1" si="8"/>
        <v>5.4882469005119228E-2</v>
      </c>
      <c r="G164">
        <f t="shared" ca="1" si="8"/>
        <v>5.4886972387706318E-2</v>
      </c>
      <c r="H164">
        <f t="shared" ca="1" si="8"/>
        <v>5.4887263759392964E-2</v>
      </c>
      <c r="I164">
        <f t="shared" ca="1" si="8"/>
        <v>5.4923812315418631E-2</v>
      </c>
      <c r="J164">
        <f t="shared" ca="1" si="7"/>
        <v>5.4904266325803787E-2</v>
      </c>
      <c r="K164">
        <f t="shared" ca="1" si="7"/>
        <v>5.4895622380378671E-2</v>
      </c>
      <c r="L164">
        <f t="shared" ca="1" si="7"/>
        <v>5.4906387567674499E-2</v>
      </c>
      <c r="M164">
        <f t="shared" ca="1" si="7"/>
        <v>5.4902683977126741E-2</v>
      </c>
      <c r="N164">
        <f t="shared" ca="1" si="7"/>
        <v>5.4888921451532249E-2</v>
      </c>
      <c r="O164" s="43"/>
    </row>
    <row r="165" spans="3:15" x14ac:dyDescent="0.2">
      <c r="C165" s="3"/>
      <c r="D165">
        <v>163</v>
      </c>
      <c r="E165">
        <f t="shared" ca="1" si="8"/>
        <v>5.4882506912725129E-2</v>
      </c>
      <c r="F165">
        <f t="shared" ca="1" si="8"/>
        <v>5.4880416650357262E-2</v>
      </c>
      <c r="G165">
        <f t="shared" ca="1" si="8"/>
        <v>5.4889685445759048E-2</v>
      </c>
      <c r="H165">
        <f t="shared" ca="1" si="8"/>
        <v>5.4882664340652969E-2</v>
      </c>
      <c r="I165">
        <f t="shared" ca="1" si="8"/>
        <v>5.4919676894135759E-2</v>
      </c>
      <c r="J165">
        <f t="shared" ca="1" si="7"/>
        <v>5.4903125654101215E-2</v>
      </c>
      <c r="K165">
        <f t="shared" ca="1" si="7"/>
        <v>5.4894718349833956E-2</v>
      </c>
      <c r="L165">
        <f t="shared" ca="1" si="7"/>
        <v>5.4904925916454926E-2</v>
      </c>
      <c r="M165">
        <f t="shared" ca="1" si="7"/>
        <v>5.4903178253721298E-2</v>
      </c>
      <c r="N165">
        <f t="shared" ca="1" si="7"/>
        <v>5.4884071212454401E-2</v>
      </c>
      <c r="O165" s="43"/>
    </row>
    <row r="166" spans="3:15" x14ac:dyDescent="0.2">
      <c r="C166" s="3"/>
      <c r="D166">
        <v>164</v>
      </c>
      <c r="E166">
        <f t="shared" ca="1" si="8"/>
        <v>5.4885753121781795E-2</v>
      </c>
      <c r="F166">
        <f t="shared" ca="1" si="8"/>
        <v>5.4880317681269365E-2</v>
      </c>
      <c r="G166">
        <f t="shared" ca="1" si="8"/>
        <v>5.4893802045888479E-2</v>
      </c>
      <c r="H166">
        <f t="shared" ca="1" si="8"/>
        <v>5.4889173490329304E-2</v>
      </c>
      <c r="I166">
        <f t="shared" ca="1" si="8"/>
        <v>5.4919374341845996E-2</v>
      </c>
      <c r="J166">
        <f t="shared" ca="1" si="7"/>
        <v>5.4906281059197988E-2</v>
      </c>
      <c r="K166">
        <f t="shared" ca="1" si="7"/>
        <v>5.489498581778747E-2</v>
      </c>
      <c r="L166">
        <f t="shared" ca="1" si="7"/>
        <v>5.4904761578890092E-2</v>
      </c>
      <c r="M166">
        <f t="shared" ca="1" si="7"/>
        <v>5.490360663537841E-2</v>
      </c>
      <c r="N166">
        <f t="shared" ca="1" si="7"/>
        <v>5.4878896491383521E-2</v>
      </c>
      <c r="O166" s="43"/>
    </row>
    <row r="167" spans="3:15" x14ac:dyDescent="0.2">
      <c r="C167" s="3"/>
      <c r="D167">
        <v>165</v>
      </c>
      <c r="E167">
        <f t="shared" ca="1" si="8"/>
        <v>5.4881637107013673E-2</v>
      </c>
      <c r="F167">
        <f t="shared" ca="1" si="8"/>
        <v>5.4881535663658665E-2</v>
      </c>
      <c r="G167">
        <f t="shared" ca="1" si="8"/>
        <v>5.4895490382134586E-2</v>
      </c>
      <c r="H167">
        <f t="shared" ca="1" si="8"/>
        <v>5.4894482832880807E-2</v>
      </c>
      <c r="I167">
        <f t="shared" ca="1" si="8"/>
        <v>5.4918128942234141E-2</v>
      </c>
      <c r="J167">
        <f t="shared" ca="1" si="7"/>
        <v>5.4902164719994616E-2</v>
      </c>
      <c r="K167">
        <f t="shared" ca="1" si="7"/>
        <v>5.4893884686556337E-2</v>
      </c>
      <c r="L167">
        <f t="shared" ca="1" si="7"/>
        <v>5.4902792361782887E-2</v>
      </c>
      <c r="M167">
        <f t="shared" ca="1" si="7"/>
        <v>5.490481702037453E-2</v>
      </c>
      <c r="N167">
        <f t="shared" ca="1" si="7"/>
        <v>5.4878661670178422E-2</v>
      </c>
      <c r="O167" s="43"/>
    </row>
    <row r="168" spans="3:15" x14ac:dyDescent="0.2">
      <c r="C168" s="3"/>
      <c r="D168">
        <v>166</v>
      </c>
      <c r="E168">
        <f t="shared" ca="1" si="8"/>
        <v>5.4880433741546018E-2</v>
      </c>
      <c r="F168">
        <f t="shared" ca="1" si="8"/>
        <v>5.4879532004600579E-2</v>
      </c>
      <c r="G168">
        <f t="shared" ca="1" si="8"/>
        <v>5.4891886137638603E-2</v>
      </c>
      <c r="H168">
        <f t="shared" ca="1" si="8"/>
        <v>5.4894331863761789E-2</v>
      </c>
      <c r="I168">
        <f t="shared" ca="1" si="8"/>
        <v>5.4919843823610356E-2</v>
      </c>
      <c r="J168">
        <f t="shared" ca="1" si="7"/>
        <v>5.4903712153865691E-2</v>
      </c>
      <c r="K168">
        <f t="shared" ca="1" si="7"/>
        <v>5.4895817082988685E-2</v>
      </c>
      <c r="L168">
        <f t="shared" ca="1" si="7"/>
        <v>5.4902334953627695E-2</v>
      </c>
      <c r="M168">
        <f t="shared" ca="1" si="7"/>
        <v>5.4906698164721005E-2</v>
      </c>
      <c r="N168">
        <f t="shared" ca="1" si="7"/>
        <v>5.4878528308324959E-2</v>
      </c>
      <c r="O168" s="43"/>
    </row>
    <row r="169" spans="3:15" x14ac:dyDescent="0.2">
      <c r="C169" s="3"/>
      <c r="D169">
        <v>167</v>
      </c>
      <c r="E169">
        <f t="shared" ca="1" si="8"/>
        <v>5.4880237949357501E-2</v>
      </c>
      <c r="F169">
        <f t="shared" ca="1" si="8"/>
        <v>5.4878062504848786E-2</v>
      </c>
      <c r="G169">
        <f t="shared" ca="1" si="8"/>
        <v>5.4890085097568826E-2</v>
      </c>
      <c r="H169">
        <f t="shared" ca="1" si="8"/>
        <v>5.4895301791606996E-2</v>
      </c>
      <c r="I169">
        <f t="shared" ca="1" si="8"/>
        <v>5.4914798617301856E-2</v>
      </c>
      <c r="J169">
        <f t="shared" ca="1" si="7"/>
        <v>5.4903264055411939E-2</v>
      </c>
      <c r="K169">
        <f t="shared" ca="1" si="7"/>
        <v>5.4899664977441531E-2</v>
      </c>
      <c r="L169">
        <f t="shared" ca="1" si="7"/>
        <v>5.4903646803492474E-2</v>
      </c>
      <c r="M169">
        <f t="shared" ca="1" si="7"/>
        <v>5.4904205942596603E-2</v>
      </c>
      <c r="N169">
        <f t="shared" ca="1" si="7"/>
        <v>5.4879551319902249E-2</v>
      </c>
      <c r="O169" s="43"/>
    </row>
    <row r="170" spans="3:15" x14ac:dyDescent="0.2">
      <c r="C170" s="3"/>
      <c r="D170">
        <v>168</v>
      </c>
      <c r="E170">
        <f t="shared" ca="1" si="8"/>
        <v>5.4882129181129273E-2</v>
      </c>
      <c r="F170">
        <f t="shared" ca="1" si="8"/>
        <v>5.4878675878180953E-2</v>
      </c>
      <c r="G170">
        <f t="shared" ca="1" si="8"/>
        <v>5.4890576625495992E-2</v>
      </c>
      <c r="H170">
        <f t="shared" ca="1" si="8"/>
        <v>5.4891704298145258E-2</v>
      </c>
      <c r="I170">
        <f t="shared" ca="1" si="8"/>
        <v>5.4913838115394492E-2</v>
      </c>
      <c r="J170">
        <f t="shared" ca="1" si="7"/>
        <v>5.4904509781550065E-2</v>
      </c>
      <c r="K170">
        <f t="shared" ca="1" si="7"/>
        <v>5.4904459519111715E-2</v>
      </c>
      <c r="L170">
        <f t="shared" ca="1" si="7"/>
        <v>5.4903483484226155E-2</v>
      </c>
      <c r="M170">
        <f t="shared" ca="1" si="7"/>
        <v>5.4903574622588026E-2</v>
      </c>
      <c r="N170">
        <f t="shared" ca="1" si="7"/>
        <v>5.4880971740529118E-2</v>
      </c>
      <c r="O170" s="43"/>
    </row>
    <row r="171" spans="3:15" x14ac:dyDescent="0.2">
      <c r="C171" s="3"/>
      <c r="D171">
        <v>169</v>
      </c>
      <c r="E171">
        <f t="shared" ca="1" si="8"/>
        <v>5.487979208729038E-2</v>
      </c>
      <c r="F171">
        <f t="shared" ca="1" si="8"/>
        <v>5.4880390823815087E-2</v>
      </c>
      <c r="G171">
        <f t="shared" ca="1" si="8"/>
        <v>5.4891816535264433E-2</v>
      </c>
      <c r="H171">
        <f t="shared" ca="1" si="8"/>
        <v>5.4891063908181964E-2</v>
      </c>
      <c r="I171">
        <f t="shared" ca="1" si="8"/>
        <v>5.4916916054440358E-2</v>
      </c>
      <c r="J171">
        <f t="shared" ca="1" si="7"/>
        <v>5.4901816786222149E-2</v>
      </c>
      <c r="K171">
        <f t="shared" ca="1" si="7"/>
        <v>5.4900995423929767E-2</v>
      </c>
      <c r="L171">
        <f t="shared" ca="1" si="7"/>
        <v>5.4896730063311666E-2</v>
      </c>
      <c r="M171">
        <f t="shared" ca="1" si="7"/>
        <v>5.4903780960464277E-2</v>
      </c>
      <c r="N171">
        <f t="shared" ca="1" si="7"/>
        <v>5.4883703965974674E-2</v>
      </c>
      <c r="O171" s="43"/>
    </row>
    <row r="172" spans="3:15" x14ac:dyDescent="0.2">
      <c r="C172" s="3"/>
      <c r="D172">
        <v>170</v>
      </c>
      <c r="E172">
        <f t="shared" ca="1" si="8"/>
        <v>5.4877522481541027E-2</v>
      </c>
      <c r="F172">
        <f t="shared" ca="1" si="8"/>
        <v>5.4880729021852287E-2</v>
      </c>
      <c r="G172">
        <f t="shared" ca="1" si="8"/>
        <v>5.4887229135042563E-2</v>
      </c>
      <c r="H172">
        <f t="shared" ca="1" si="8"/>
        <v>5.4889256349222988E-2</v>
      </c>
      <c r="I172">
        <f t="shared" ca="1" si="8"/>
        <v>5.492002518164682E-2</v>
      </c>
      <c r="J172">
        <f t="shared" ca="1" si="7"/>
        <v>5.4900707293307253E-2</v>
      </c>
      <c r="K172">
        <f t="shared" ca="1" si="7"/>
        <v>5.4903072076648657E-2</v>
      </c>
      <c r="L172">
        <f t="shared" ca="1" si="7"/>
        <v>5.4897399356457585E-2</v>
      </c>
      <c r="M172">
        <f t="shared" ca="1" si="7"/>
        <v>5.4904207218042726E-2</v>
      </c>
      <c r="N172">
        <f t="shared" ca="1" si="7"/>
        <v>5.4886539071894148E-2</v>
      </c>
      <c r="O172" s="43"/>
    </row>
    <row r="173" spans="3:15" x14ac:dyDescent="0.2">
      <c r="C173" s="3"/>
      <c r="D173">
        <v>171</v>
      </c>
      <c r="E173">
        <f t="shared" ca="1" si="8"/>
        <v>5.4878558887550645E-2</v>
      </c>
      <c r="F173">
        <f t="shared" ca="1" si="8"/>
        <v>5.48833008239899E-2</v>
      </c>
      <c r="G173">
        <f t="shared" ca="1" si="8"/>
        <v>5.4887621154842345E-2</v>
      </c>
      <c r="H173">
        <f t="shared" ca="1" si="8"/>
        <v>5.4892407606502533E-2</v>
      </c>
      <c r="I173">
        <f t="shared" ca="1" si="8"/>
        <v>5.4917503760289796E-2</v>
      </c>
      <c r="J173">
        <f t="shared" ca="1" si="7"/>
        <v>5.4899487316166874E-2</v>
      </c>
      <c r="K173">
        <f t="shared" ca="1" si="7"/>
        <v>5.4903446049010866E-2</v>
      </c>
      <c r="L173">
        <f t="shared" ca="1" si="7"/>
        <v>5.4894992023246013E-2</v>
      </c>
      <c r="M173">
        <f t="shared" ca="1" si="7"/>
        <v>5.4899333182650861E-2</v>
      </c>
      <c r="N173">
        <f t="shared" ca="1" si="7"/>
        <v>5.4888291474885706E-2</v>
      </c>
      <c r="O173" s="43"/>
    </row>
    <row r="174" spans="3:15" x14ac:dyDescent="0.2">
      <c r="C174" s="3"/>
      <c r="D174">
        <v>172</v>
      </c>
      <c r="E174">
        <f t="shared" ca="1" si="8"/>
        <v>5.4878317051362188E-2</v>
      </c>
      <c r="F174">
        <f t="shared" ca="1" si="8"/>
        <v>5.488291050340996E-2</v>
      </c>
      <c r="G174">
        <f t="shared" ca="1" si="8"/>
        <v>5.4889957316100635E-2</v>
      </c>
      <c r="H174">
        <f t="shared" ca="1" si="8"/>
        <v>5.4894468730259181E-2</v>
      </c>
      <c r="I174">
        <f t="shared" ca="1" si="8"/>
        <v>5.4917895155282059E-2</v>
      </c>
      <c r="J174">
        <f t="shared" ca="1" si="7"/>
        <v>5.4899952754106023E-2</v>
      </c>
      <c r="K174">
        <f t="shared" ca="1" si="7"/>
        <v>5.489972430670878E-2</v>
      </c>
      <c r="L174">
        <f t="shared" ca="1" si="7"/>
        <v>5.4897562473624158E-2</v>
      </c>
      <c r="M174">
        <f t="shared" ca="1" si="7"/>
        <v>5.4900772152310921E-2</v>
      </c>
      <c r="N174">
        <f t="shared" ca="1" si="7"/>
        <v>5.4887027397275474E-2</v>
      </c>
      <c r="O174" s="43"/>
    </row>
    <row r="175" spans="3:15" x14ac:dyDescent="0.2">
      <c r="C175" s="3"/>
      <c r="D175">
        <v>173</v>
      </c>
      <c r="E175">
        <f t="shared" ca="1" si="8"/>
        <v>5.4882061911624688E-2</v>
      </c>
      <c r="F175">
        <f t="shared" ca="1" si="8"/>
        <v>5.4886892187094548E-2</v>
      </c>
      <c r="G175">
        <f t="shared" ca="1" si="8"/>
        <v>5.4883740864584432E-2</v>
      </c>
      <c r="H175">
        <f t="shared" ca="1" si="8"/>
        <v>5.4899318448886021E-2</v>
      </c>
      <c r="I175">
        <f t="shared" ca="1" si="8"/>
        <v>5.4918460844652239E-2</v>
      </c>
      <c r="J175">
        <f t="shared" ca="1" si="7"/>
        <v>5.489831868341942E-2</v>
      </c>
      <c r="K175">
        <f t="shared" ca="1" si="7"/>
        <v>5.4896856700543069E-2</v>
      </c>
      <c r="L175">
        <f t="shared" ca="1" si="7"/>
        <v>5.4900452999242115E-2</v>
      </c>
      <c r="M175">
        <f t="shared" ca="1" si="7"/>
        <v>5.4900806307171937E-2</v>
      </c>
      <c r="N175">
        <f t="shared" ca="1" si="7"/>
        <v>5.4884714668794583E-2</v>
      </c>
      <c r="O175" s="43"/>
    </row>
    <row r="176" spans="3:15" x14ac:dyDescent="0.2">
      <c r="C176" s="3"/>
      <c r="D176">
        <v>174</v>
      </c>
      <c r="E176">
        <f t="shared" ca="1" si="8"/>
        <v>5.4880680599525479E-2</v>
      </c>
      <c r="F176">
        <f t="shared" ca="1" si="8"/>
        <v>5.488495802965853E-2</v>
      </c>
      <c r="G176">
        <f t="shared" ca="1" si="8"/>
        <v>5.4884636688432478E-2</v>
      </c>
      <c r="H176">
        <f t="shared" ca="1" si="8"/>
        <v>5.4898558725090439E-2</v>
      </c>
      <c r="I176">
        <f t="shared" ca="1" si="8"/>
        <v>5.4916874915059984E-2</v>
      </c>
      <c r="J176">
        <f t="shared" ca="1" si="7"/>
        <v>5.4900227934692361E-2</v>
      </c>
      <c r="K176">
        <f t="shared" ca="1" si="7"/>
        <v>5.489817781445161E-2</v>
      </c>
      <c r="L176">
        <f t="shared" ca="1" si="7"/>
        <v>5.4897728458774407E-2</v>
      </c>
      <c r="M176">
        <f t="shared" ca="1" si="7"/>
        <v>5.4904120719501126E-2</v>
      </c>
      <c r="N176">
        <f t="shared" ca="1" si="7"/>
        <v>5.4885309892818389E-2</v>
      </c>
      <c r="O176" s="43"/>
    </row>
    <row r="177" spans="3:15" x14ac:dyDescent="0.2">
      <c r="C177" s="3"/>
      <c r="D177">
        <v>175</v>
      </c>
      <c r="E177">
        <f t="shared" ca="1" si="8"/>
        <v>5.4877744556048283E-2</v>
      </c>
      <c r="F177">
        <f t="shared" ca="1" si="8"/>
        <v>5.4883796108804513E-2</v>
      </c>
      <c r="G177">
        <f t="shared" ca="1" si="8"/>
        <v>5.488448100382759E-2</v>
      </c>
      <c r="H177">
        <f t="shared" ca="1" si="8"/>
        <v>5.4901645079694424E-2</v>
      </c>
      <c r="I177">
        <f t="shared" ca="1" si="8"/>
        <v>5.4916416346212922E-2</v>
      </c>
      <c r="J177">
        <f t="shared" ca="1" si="7"/>
        <v>5.4901794628884483E-2</v>
      </c>
      <c r="K177">
        <f t="shared" ca="1" si="7"/>
        <v>5.489630502564681E-2</v>
      </c>
      <c r="L177">
        <f t="shared" ca="1" si="7"/>
        <v>5.4893108200159101E-2</v>
      </c>
      <c r="M177">
        <f t="shared" ca="1" si="7"/>
        <v>5.490416607302534E-2</v>
      </c>
      <c r="N177">
        <f t="shared" ca="1" si="7"/>
        <v>5.4885621298067323E-2</v>
      </c>
      <c r="O177" s="43"/>
    </row>
    <row r="178" spans="3:15" x14ac:dyDescent="0.2">
      <c r="C178" s="3"/>
      <c r="D178">
        <v>176</v>
      </c>
      <c r="E178">
        <f t="shared" ca="1" si="8"/>
        <v>5.4883496490328233E-2</v>
      </c>
      <c r="F178">
        <f t="shared" ca="1" si="8"/>
        <v>5.4885201902312428E-2</v>
      </c>
      <c r="G178">
        <f t="shared" ca="1" si="8"/>
        <v>5.4885972979224783E-2</v>
      </c>
      <c r="H178">
        <f t="shared" ca="1" si="8"/>
        <v>5.4899578957178854E-2</v>
      </c>
      <c r="I178">
        <f t="shared" ca="1" si="8"/>
        <v>5.4915896431976051E-2</v>
      </c>
      <c r="J178">
        <f t="shared" ca="1" si="7"/>
        <v>5.4901948706483794E-2</v>
      </c>
      <c r="K178">
        <f t="shared" ca="1" si="7"/>
        <v>5.4894433362179619E-2</v>
      </c>
      <c r="L178">
        <f t="shared" ca="1" si="7"/>
        <v>5.4893467425183223E-2</v>
      </c>
      <c r="M178">
        <f t="shared" ca="1" si="7"/>
        <v>5.4908365176829878E-2</v>
      </c>
      <c r="N178">
        <f t="shared" ca="1" si="7"/>
        <v>5.4888124803462612E-2</v>
      </c>
      <c r="O178" s="43"/>
    </row>
    <row r="179" spans="3:15" x14ac:dyDescent="0.2">
      <c r="C179" s="3"/>
      <c r="D179">
        <v>177</v>
      </c>
      <c r="E179">
        <f t="shared" ca="1" si="8"/>
        <v>5.4886828154459805E-2</v>
      </c>
      <c r="F179">
        <f t="shared" ca="1" si="8"/>
        <v>5.4885137338410224E-2</v>
      </c>
      <c r="G179">
        <f t="shared" ca="1" si="8"/>
        <v>5.4886325360390335E-2</v>
      </c>
      <c r="H179">
        <f t="shared" ca="1" si="8"/>
        <v>5.4900604565031867E-2</v>
      </c>
      <c r="I179">
        <f t="shared" ca="1" si="8"/>
        <v>5.4916876097905049E-2</v>
      </c>
      <c r="J179">
        <f t="shared" ca="1" si="7"/>
        <v>5.4903497170909921E-2</v>
      </c>
      <c r="K179">
        <f t="shared" ca="1" si="7"/>
        <v>5.48980842614262E-2</v>
      </c>
      <c r="L179">
        <f t="shared" ca="1" si="7"/>
        <v>5.4898669336740855E-2</v>
      </c>
      <c r="M179">
        <f t="shared" ca="1" si="7"/>
        <v>5.4905762253554397E-2</v>
      </c>
      <c r="N179">
        <f t="shared" ca="1" si="7"/>
        <v>5.4890854037278725E-2</v>
      </c>
      <c r="O179" s="43"/>
    </row>
    <row r="180" spans="3:15" x14ac:dyDescent="0.2">
      <c r="C180" s="3"/>
      <c r="D180">
        <v>178</v>
      </c>
      <c r="E180">
        <f t="shared" ca="1" si="8"/>
        <v>5.488806030613607E-2</v>
      </c>
      <c r="F180">
        <f t="shared" ca="1" si="8"/>
        <v>5.4888055794735248E-2</v>
      </c>
      <c r="G180">
        <f t="shared" ca="1" si="8"/>
        <v>5.4887841906549641E-2</v>
      </c>
      <c r="H180">
        <f t="shared" ca="1" si="8"/>
        <v>5.4901241691298792E-2</v>
      </c>
      <c r="I180">
        <f t="shared" ca="1" si="8"/>
        <v>5.4916048848249986E-2</v>
      </c>
      <c r="J180">
        <f t="shared" ca="1" si="7"/>
        <v>5.4901945736398505E-2</v>
      </c>
      <c r="K180">
        <f t="shared" ca="1" si="7"/>
        <v>5.4895867155802615E-2</v>
      </c>
      <c r="L180">
        <f t="shared" ca="1" si="7"/>
        <v>5.490172277544756E-2</v>
      </c>
      <c r="M180">
        <f t="shared" ca="1" si="7"/>
        <v>5.4903668721858007E-2</v>
      </c>
      <c r="N180">
        <f t="shared" ca="1" si="7"/>
        <v>5.4893768083030481E-2</v>
      </c>
      <c r="O180" s="43"/>
    </row>
    <row r="181" spans="3:15" x14ac:dyDescent="0.2">
      <c r="C181" s="3"/>
      <c r="D181">
        <v>179</v>
      </c>
      <c r="E181">
        <f t="shared" ca="1" si="8"/>
        <v>5.4882291206489443E-2</v>
      </c>
      <c r="F181">
        <f t="shared" ca="1" si="8"/>
        <v>5.4888855325829579E-2</v>
      </c>
      <c r="G181">
        <f t="shared" ca="1" si="8"/>
        <v>5.48845381551245E-2</v>
      </c>
      <c r="H181">
        <f t="shared" ca="1" si="8"/>
        <v>5.4901699035042231E-2</v>
      </c>
      <c r="I181">
        <f t="shared" ca="1" si="8"/>
        <v>5.4915922492329274E-2</v>
      </c>
      <c r="J181">
        <f t="shared" ca="1" si="7"/>
        <v>5.4895817233190453E-2</v>
      </c>
      <c r="K181">
        <f t="shared" ca="1" si="7"/>
        <v>5.4895076268123733E-2</v>
      </c>
      <c r="L181">
        <f t="shared" ca="1" si="7"/>
        <v>5.4903594072644855E-2</v>
      </c>
      <c r="M181">
        <f t="shared" ca="1" si="7"/>
        <v>5.4906517783975053E-2</v>
      </c>
      <c r="N181">
        <f t="shared" ca="1" si="7"/>
        <v>5.4896099608361087E-2</v>
      </c>
      <c r="O181" s="43"/>
    </row>
    <row r="182" spans="3:15" x14ac:dyDescent="0.2">
      <c r="C182" s="3"/>
      <c r="D182">
        <v>180</v>
      </c>
      <c r="E182">
        <f t="shared" ca="1" si="8"/>
        <v>5.4887037767723926E-2</v>
      </c>
      <c r="F182">
        <f t="shared" ca="1" si="8"/>
        <v>5.4887769190217588E-2</v>
      </c>
      <c r="G182">
        <f t="shared" ca="1" si="8"/>
        <v>5.4880241021458338E-2</v>
      </c>
      <c r="H182">
        <f t="shared" ca="1" si="8"/>
        <v>5.4900758603597347E-2</v>
      </c>
      <c r="I182">
        <f t="shared" ca="1" si="8"/>
        <v>5.4916833627308717E-2</v>
      </c>
      <c r="J182">
        <f t="shared" ref="J182:N232" ca="1" si="9">$B$1*($B$2-J181)*$B$6+$B$3*SQRT(J181)*SQRT($B$6)*_xlfn.NORM.S.INV(RAND())+J181</f>
        <v>5.4901252580965454E-2</v>
      </c>
      <c r="K182">
        <f t="shared" ca="1" si="9"/>
        <v>5.4891778666417333E-2</v>
      </c>
      <c r="L182">
        <f t="shared" ca="1" si="9"/>
        <v>5.4904701300320803E-2</v>
      </c>
      <c r="M182">
        <f t="shared" ca="1" si="9"/>
        <v>5.4903728288885401E-2</v>
      </c>
      <c r="N182">
        <f t="shared" ca="1" si="9"/>
        <v>5.4897846931949011E-2</v>
      </c>
      <c r="O182" s="43"/>
    </row>
    <row r="183" spans="3:15" x14ac:dyDescent="0.2">
      <c r="C183" s="3"/>
      <c r="D183">
        <v>181</v>
      </c>
      <c r="E183">
        <f t="shared" ref="E183:I233" ca="1" si="10">$B$1*($B$2-E182)*$B$6+$B$3*SQRT(E182)*SQRT($B$6)*_xlfn.NORM.S.INV(RAND())+E182</f>
        <v>5.4889798969180378E-2</v>
      </c>
      <c r="F183">
        <f t="shared" ca="1" si="10"/>
        <v>5.4891250390571647E-2</v>
      </c>
      <c r="G183">
        <f t="shared" ca="1" si="10"/>
        <v>5.4882026283329693E-2</v>
      </c>
      <c r="H183">
        <f t="shared" ca="1" si="10"/>
        <v>5.4897033319344035E-2</v>
      </c>
      <c r="I183">
        <f t="shared" ca="1" si="10"/>
        <v>5.4912389681086103E-2</v>
      </c>
      <c r="J183">
        <f t="shared" ca="1" si="9"/>
        <v>5.4900448150488224E-2</v>
      </c>
      <c r="K183">
        <f t="shared" ca="1" si="9"/>
        <v>5.4890529518361542E-2</v>
      </c>
      <c r="L183">
        <f t="shared" ca="1" si="9"/>
        <v>5.4899026175784446E-2</v>
      </c>
      <c r="M183">
        <f t="shared" ca="1" si="9"/>
        <v>5.4901951971840314E-2</v>
      </c>
      <c r="N183">
        <f t="shared" ca="1" si="9"/>
        <v>5.48938184479702E-2</v>
      </c>
      <c r="O183" s="43"/>
    </row>
    <row r="184" spans="3:15" x14ac:dyDescent="0.2">
      <c r="C184" s="3"/>
      <c r="D184">
        <v>182</v>
      </c>
      <c r="E184">
        <f t="shared" ca="1" si="10"/>
        <v>5.4891150196187198E-2</v>
      </c>
      <c r="F184">
        <f t="shared" ca="1" si="10"/>
        <v>5.489341018667275E-2</v>
      </c>
      <c r="G184">
        <f t="shared" ca="1" si="10"/>
        <v>5.4879146744188097E-2</v>
      </c>
      <c r="H184">
        <f t="shared" ca="1" si="10"/>
        <v>5.4896468406941401E-2</v>
      </c>
      <c r="I184">
        <f t="shared" ca="1" si="10"/>
        <v>5.4908054008082435E-2</v>
      </c>
      <c r="J184">
        <f t="shared" ca="1" si="9"/>
        <v>5.4900708871869472E-2</v>
      </c>
      <c r="K184">
        <f t="shared" ca="1" si="9"/>
        <v>5.4890940963335369E-2</v>
      </c>
      <c r="L184">
        <f t="shared" ca="1" si="9"/>
        <v>5.4902694103053221E-2</v>
      </c>
      <c r="M184">
        <f t="shared" ca="1" si="9"/>
        <v>5.4901418406309146E-2</v>
      </c>
      <c r="N184">
        <f t="shared" ca="1" si="9"/>
        <v>5.4895318568561086E-2</v>
      </c>
      <c r="O184" s="43"/>
    </row>
    <row r="185" spans="3:15" x14ac:dyDescent="0.2">
      <c r="C185" s="3"/>
      <c r="D185">
        <v>183</v>
      </c>
      <c r="E185">
        <f t="shared" ca="1" si="10"/>
        <v>5.4894284820795829E-2</v>
      </c>
      <c r="F185">
        <f t="shared" ca="1" si="10"/>
        <v>5.4893435299983626E-2</v>
      </c>
      <c r="G185">
        <f t="shared" ca="1" si="10"/>
        <v>5.4880148097636514E-2</v>
      </c>
      <c r="H185">
        <f t="shared" ca="1" si="10"/>
        <v>5.4900047045744874E-2</v>
      </c>
      <c r="I185">
        <f t="shared" ca="1" si="10"/>
        <v>5.4911334392318517E-2</v>
      </c>
      <c r="J185">
        <f t="shared" ca="1" si="9"/>
        <v>5.4904290405242681E-2</v>
      </c>
      <c r="K185">
        <f t="shared" ca="1" si="9"/>
        <v>5.4887036355611186E-2</v>
      </c>
      <c r="L185">
        <f t="shared" ca="1" si="9"/>
        <v>5.4904011395527669E-2</v>
      </c>
      <c r="M185">
        <f t="shared" ca="1" si="9"/>
        <v>5.490454411720571E-2</v>
      </c>
      <c r="N185">
        <f t="shared" ca="1" si="9"/>
        <v>5.4898336474212654E-2</v>
      </c>
      <c r="O185" s="43"/>
    </row>
    <row r="186" spans="3:15" x14ac:dyDescent="0.2">
      <c r="C186" s="3"/>
      <c r="D186">
        <v>184</v>
      </c>
      <c r="E186">
        <f t="shared" ca="1" si="10"/>
        <v>5.4895615408618537E-2</v>
      </c>
      <c r="F186">
        <f t="shared" ca="1" si="10"/>
        <v>5.4890904595766683E-2</v>
      </c>
      <c r="G186">
        <f t="shared" ca="1" si="10"/>
        <v>5.4877515747529484E-2</v>
      </c>
      <c r="H186">
        <f t="shared" ca="1" si="10"/>
        <v>5.4894128003823192E-2</v>
      </c>
      <c r="I186">
        <f t="shared" ca="1" si="10"/>
        <v>5.4910703323564493E-2</v>
      </c>
      <c r="J186">
        <f t="shared" ca="1" si="9"/>
        <v>5.4905669017378492E-2</v>
      </c>
      <c r="K186">
        <f t="shared" ca="1" si="9"/>
        <v>5.4887858216457107E-2</v>
      </c>
      <c r="L186">
        <f t="shared" ca="1" si="9"/>
        <v>5.4903686062780545E-2</v>
      </c>
      <c r="M186">
        <f t="shared" ca="1" si="9"/>
        <v>5.489960949161235E-2</v>
      </c>
      <c r="N186">
        <f t="shared" ca="1" si="9"/>
        <v>5.4901123846832878E-2</v>
      </c>
      <c r="O186" s="43"/>
    </row>
    <row r="187" spans="3:15" x14ac:dyDescent="0.2">
      <c r="C187" s="3"/>
      <c r="D187">
        <v>185</v>
      </c>
      <c r="E187">
        <f t="shared" ca="1" si="10"/>
        <v>5.4895731692789863E-2</v>
      </c>
      <c r="F187">
        <f t="shared" ca="1" si="10"/>
        <v>5.4884762961081739E-2</v>
      </c>
      <c r="G187">
        <f t="shared" ca="1" si="10"/>
        <v>5.4877293355256151E-2</v>
      </c>
      <c r="H187">
        <f t="shared" ca="1" si="10"/>
        <v>5.4893209771883646E-2</v>
      </c>
      <c r="I187">
        <f t="shared" ca="1" si="10"/>
        <v>5.4909699748204657E-2</v>
      </c>
      <c r="J187">
        <f t="shared" ca="1" si="9"/>
        <v>5.490700933906905E-2</v>
      </c>
      <c r="K187">
        <f t="shared" ca="1" si="9"/>
        <v>5.4888407078242572E-2</v>
      </c>
      <c r="L187">
        <f t="shared" ca="1" si="9"/>
        <v>5.4902144413022484E-2</v>
      </c>
      <c r="M187">
        <f t="shared" ca="1" si="9"/>
        <v>5.4898649328977714E-2</v>
      </c>
      <c r="N187">
        <f t="shared" ca="1" si="9"/>
        <v>5.4906320200481855E-2</v>
      </c>
      <c r="O187" s="43"/>
    </row>
    <row r="188" spans="3:15" x14ac:dyDescent="0.2">
      <c r="C188" s="3"/>
      <c r="D188">
        <v>186</v>
      </c>
      <c r="E188">
        <f t="shared" ca="1" si="10"/>
        <v>5.4894986139664675E-2</v>
      </c>
      <c r="F188">
        <f t="shared" ca="1" si="10"/>
        <v>5.4885035248042745E-2</v>
      </c>
      <c r="G188">
        <f t="shared" ca="1" si="10"/>
        <v>5.4877232654552514E-2</v>
      </c>
      <c r="H188">
        <f t="shared" ca="1" si="10"/>
        <v>5.4889536382859594E-2</v>
      </c>
      <c r="I188">
        <f t="shared" ca="1" si="10"/>
        <v>5.4905555991477499E-2</v>
      </c>
      <c r="J188">
        <f t="shared" ca="1" si="9"/>
        <v>5.4912817766150958E-2</v>
      </c>
      <c r="K188">
        <f t="shared" ca="1" si="9"/>
        <v>5.4888888246571552E-2</v>
      </c>
      <c r="L188">
        <f t="shared" ca="1" si="9"/>
        <v>5.490401783463391E-2</v>
      </c>
      <c r="M188">
        <f t="shared" ca="1" si="9"/>
        <v>5.4900689272064963E-2</v>
      </c>
      <c r="N188">
        <f t="shared" ca="1" si="9"/>
        <v>5.4904976291321191E-2</v>
      </c>
      <c r="O188" s="43"/>
    </row>
    <row r="189" spans="3:15" x14ac:dyDescent="0.2">
      <c r="C189" s="3"/>
      <c r="D189">
        <v>187</v>
      </c>
      <c r="E189">
        <f t="shared" ca="1" si="10"/>
        <v>5.4896389859134524E-2</v>
      </c>
      <c r="F189">
        <f t="shared" ca="1" si="10"/>
        <v>5.4882528810584232E-2</v>
      </c>
      <c r="G189">
        <f t="shared" ca="1" si="10"/>
        <v>5.487564074014184E-2</v>
      </c>
      <c r="H189">
        <f t="shared" ca="1" si="10"/>
        <v>5.4888636368971504E-2</v>
      </c>
      <c r="I189">
        <f t="shared" ca="1" si="10"/>
        <v>5.4906632619266961E-2</v>
      </c>
      <c r="J189">
        <f t="shared" ca="1" si="9"/>
        <v>5.4914244892362525E-2</v>
      </c>
      <c r="K189">
        <f t="shared" ca="1" si="9"/>
        <v>5.4893186964749041E-2</v>
      </c>
      <c r="L189">
        <f t="shared" ca="1" si="9"/>
        <v>5.4908326327494983E-2</v>
      </c>
      <c r="M189">
        <f t="shared" ca="1" si="9"/>
        <v>5.4899950050300961E-2</v>
      </c>
      <c r="N189">
        <f t="shared" ca="1" si="9"/>
        <v>5.4912117203296522E-2</v>
      </c>
      <c r="O189" s="43"/>
    </row>
    <row r="190" spans="3:15" x14ac:dyDescent="0.2">
      <c r="C190" s="3"/>
      <c r="D190">
        <v>188</v>
      </c>
      <c r="E190">
        <f t="shared" ca="1" si="10"/>
        <v>5.4898752177144891E-2</v>
      </c>
      <c r="F190">
        <f t="shared" ca="1" si="10"/>
        <v>5.4885436815849509E-2</v>
      </c>
      <c r="G190">
        <f t="shared" ca="1" si="10"/>
        <v>5.4878367567864336E-2</v>
      </c>
      <c r="H190">
        <f t="shared" ca="1" si="10"/>
        <v>5.4892200738882208E-2</v>
      </c>
      <c r="I190">
        <f t="shared" ca="1" si="10"/>
        <v>5.4904653673160442E-2</v>
      </c>
      <c r="J190">
        <f t="shared" ca="1" si="9"/>
        <v>5.4915085753985446E-2</v>
      </c>
      <c r="K190">
        <f t="shared" ca="1" si="9"/>
        <v>5.4898854866234435E-2</v>
      </c>
      <c r="L190">
        <f t="shared" ca="1" si="9"/>
        <v>5.4907674229536761E-2</v>
      </c>
      <c r="M190">
        <f t="shared" ca="1" si="9"/>
        <v>5.4899436918063628E-2</v>
      </c>
      <c r="N190">
        <f t="shared" ca="1" si="9"/>
        <v>5.4913055183017222E-2</v>
      </c>
      <c r="O190" s="43"/>
    </row>
    <row r="191" spans="3:15" x14ac:dyDescent="0.2">
      <c r="C191" s="3"/>
      <c r="D191">
        <v>189</v>
      </c>
      <c r="E191">
        <f t="shared" ca="1" si="10"/>
        <v>5.489677016437533E-2</v>
      </c>
      <c r="F191">
        <f t="shared" ca="1" si="10"/>
        <v>5.4890388904389263E-2</v>
      </c>
      <c r="G191">
        <f t="shared" ca="1" si="10"/>
        <v>5.4878032618219316E-2</v>
      </c>
      <c r="H191">
        <f t="shared" ca="1" si="10"/>
        <v>5.4891712812970943E-2</v>
      </c>
      <c r="I191">
        <f t="shared" ca="1" si="10"/>
        <v>5.4904479846060374E-2</v>
      </c>
      <c r="J191">
        <f t="shared" ca="1" si="9"/>
        <v>5.4917978130143805E-2</v>
      </c>
      <c r="K191">
        <f t="shared" ca="1" si="9"/>
        <v>5.4894291957784738E-2</v>
      </c>
      <c r="L191">
        <f t="shared" ca="1" si="9"/>
        <v>5.4906094425883165E-2</v>
      </c>
      <c r="M191">
        <f t="shared" ca="1" si="9"/>
        <v>5.4901365570933489E-2</v>
      </c>
      <c r="N191">
        <f t="shared" ca="1" si="9"/>
        <v>5.4909702936914238E-2</v>
      </c>
      <c r="O191" s="43"/>
    </row>
    <row r="192" spans="3:15" x14ac:dyDescent="0.2">
      <c r="C192" s="3"/>
      <c r="D192">
        <v>190</v>
      </c>
      <c r="E192">
        <f t="shared" ca="1" si="10"/>
        <v>5.4897742494200812E-2</v>
      </c>
      <c r="F192">
        <f t="shared" ca="1" si="10"/>
        <v>5.4889931686739564E-2</v>
      </c>
      <c r="G192">
        <f t="shared" ca="1" si="10"/>
        <v>5.4878640603387513E-2</v>
      </c>
      <c r="H192">
        <f t="shared" ca="1" si="10"/>
        <v>5.4892540392776169E-2</v>
      </c>
      <c r="I192">
        <f t="shared" ca="1" si="10"/>
        <v>5.4900745945232102E-2</v>
      </c>
      <c r="J192">
        <f t="shared" ca="1" si="9"/>
        <v>5.4919324834090989E-2</v>
      </c>
      <c r="K192">
        <f t="shared" ca="1" si="9"/>
        <v>5.4889877083190701E-2</v>
      </c>
      <c r="L192">
        <f t="shared" ca="1" si="9"/>
        <v>5.4901974729670407E-2</v>
      </c>
      <c r="M192">
        <f t="shared" ca="1" si="9"/>
        <v>5.4903928027982232E-2</v>
      </c>
      <c r="N192">
        <f t="shared" ca="1" si="9"/>
        <v>5.4906412635787952E-2</v>
      </c>
      <c r="O192" s="43"/>
    </row>
    <row r="193" spans="3:15" x14ac:dyDescent="0.2">
      <c r="C193" s="3"/>
      <c r="D193">
        <v>191</v>
      </c>
      <c r="E193">
        <f t="shared" ca="1" si="10"/>
        <v>5.4895354783846828E-2</v>
      </c>
      <c r="F193">
        <f t="shared" ca="1" si="10"/>
        <v>5.4889951553855267E-2</v>
      </c>
      <c r="G193">
        <f t="shared" ca="1" si="10"/>
        <v>5.4886020874787896E-2</v>
      </c>
      <c r="H193">
        <f t="shared" ca="1" si="10"/>
        <v>5.4892692665005252E-2</v>
      </c>
      <c r="I193">
        <f t="shared" ca="1" si="10"/>
        <v>5.4892912249796977E-2</v>
      </c>
      <c r="J193">
        <f t="shared" ca="1" si="9"/>
        <v>5.4918827373486329E-2</v>
      </c>
      <c r="K193">
        <f t="shared" ca="1" si="9"/>
        <v>5.4890979321525486E-2</v>
      </c>
      <c r="L193">
        <f t="shared" ca="1" si="9"/>
        <v>5.4900593387323234E-2</v>
      </c>
      <c r="M193">
        <f t="shared" ca="1" si="9"/>
        <v>5.4901034387483921E-2</v>
      </c>
      <c r="N193">
        <f t="shared" ca="1" si="9"/>
        <v>5.4902373413813647E-2</v>
      </c>
      <c r="O193" s="43"/>
    </row>
    <row r="194" spans="3:15" x14ac:dyDescent="0.2">
      <c r="C194" s="3"/>
      <c r="D194">
        <v>192</v>
      </c>
      <c r="E194">
        <f t="shared" ca="1" si="10"/>
        <v>5.4892193983313797E-2</v>
      </c>
      <c r="F194">
        <f t="shared" ca="1" si="10"/>
        <v>5.488866836482096E-2</v>
      </c>
      <c r="G194">
        <f t="shared" ca="1" si="10"/>
        <v>5.4884821727520711E-2</v>
      </c>
      <c r="H194">
        <f t="shared" ca="1" si="10"/>
        <v>5.4894977274013108E-2</v>
      </c>
      <c r="I194">
        <f t="shared" ca="1" si="10"/>
        <v>5.4894535438338207E-2</v>
      </c>
      <c r="J194">
        <f t="shared" ca="1" si="9"/>
        <v>5.4918423619770985E-2</v>
      </c>
      <c r="K194">
        <f t="shared" ca="1" si="9"/>
        <v>5.4887247309044401E-2</v>
      </c>
      <c r="L194">
        <f t="shared" ca="1" si="9"/>
        <v>5.4899080823117737E-2</v>
      </c>
      <c r="M194">
        <f t="shared" ca="1" si="9"/>
        <v>5.4901803111574492E-2</v>
      </c>
      <c r="N194">
        <f t="shared" ca="1" si="9"/>
        <v>5.49030406513955E-2</v>
      </c>
      <c r="O194" s="43"/>
    </row>
    <row r="195" spans="3:15" x14ac:dyDescent="0.2">
      <c r="C195" s="3"/>
      <c r="D195">
        <v>193</v>
      </c>
      <c r="E195">
        <f t="shared" ca="1" si="10"/>
        <v>5.4888412877462898E-2</v>
      </c>
      <c r="F195">
        <f t="shared" ca="1" si="10"/>
        <v>5.4888536923347366E-2</v>
      </c>
      <c r="G195">
        <f t="shared" ca="1" si="10"/>
        <v>5.4880532893150397E-2</v>
      </c>
      <c r="H195">
        <f t="shared" ca="1" si="10"/>
        <v>5.489422299743469E-2</v>
      </c>
      <c r="I195">
        <f t="shared" ca="1" si="10"/>
        <v>5.4898681025494056E-2</v>
      </c>
      <c r="J195">
        <f t="shared" ca="1" si="9"/>
        <v>5.4921539753914644E-2</v>
      </c>
      <c r="K195">
        <f t="shared" ca="1" si="9"/>
        <v>5.4883722491255921E-2</v>
      </c>
      <c r="L195">
        <f t="shared" ca="1" si="9"/>
        <v>5.4897425117400214E-2</v>
      </c>
      <c r="M195">
        <f t="shared" ca="1" si="9"/>
        <v>5.4902305023820354E-2</v>
      </c>
      <c r="N195">
        <f t="shared" ca="1" si="9"/>
        <v>5.4898189999527509E-2</v>
      </c>
      <c r="O195" s="43"/>
    </row>
    <row r="196" spans="3:15" x14ac:dyDescent="0.2">
      <c r="C196" s="3"/>
      <c r="D196">
        <v>194</v>
      </c>
      <c r="E196">
        <f t="shared" ca="1" si="10"/>
        <v>5.4885471996895606E-2</v>
      </c>
      <c r="F196">
        <f t="shared" ca="1" si="10"/>
        <v>5.488415809823731E-2</v>
      </c>
      <c r="G196">
        <f t="shared" ca="1" si="10"/>
        <v>5.4888939207080226E-2</v>
      </c>
      <c r="H196">
        <f t="shared" ca="1" si="10"/>
        <v>5.4897308390004944E-2</v>
      </c>
      <c r="I196">
        <f t="shared" ca="1" si="10"/>
        <v>5.4896999222970193E-2</v>
      </c>
      <c r="J196">
        <f t="shared" ca="1" si="9"/>
        <v>5.4920161149763821E-2</v>
      </c>
      <c r="K196">
        <f t="shared" ca="1" si="9"/>
        <v>5.4884488567826836E-2</v>
      </c>
      <c r="L196">
        <f t="shared" ca="1" si="9"/>
        <v>5.4894449868973828E-2</v>
      </c>
      <c r="M196">
        <f t="shared" ca="1" si="9"/>
        <v>5.4898781938381679E-2</v>
      </c>
      <c r="N196">
        <f t="shared" ca="1" si="9"/>
        <v>5.489415344261396E-2</v>
      </c>
      <c r="O196" s="43"/>
    </row>
    <row r="197" spans="3:15" x14ac:dyDescent="0.2">
      <c r="C197" s="3"/>
      <c r="D197">
        <v>195</v>
      </c>
      <c r="E197">
        <f t="shared" ca="1" si="10"/>
        <v>5.4885981625793077E-2</v>
      </c>
      <c r="F197">
        <f t="shared" ca="1" si="10"/>
        <v>5.488849575004702E-2</v>
      </c>
      <c r="G197">
        <f t="shared" ca="1" si="10"/>
        <v>5.4887580075890986E-2</v>
      </c>
      <c r="H197">
        <f t="shared" ca="1" si="10"/>
        <v>5.4896007988784017E-2</v>
      </c>
      <c r="I197">
        <f t="shared" ca="1" si="10"/>
        <v>5.4896001152007691E-2</v>
      </c>
      <c r="J197">
        <f t="shared" ca="1" si="9"/>
        <v>5.492095174785315E-2</v>
      </c>
      <c r="K197">
        <f t="shared" ca="1" si="9"/>
        <v>5.4887364323485698E-2</v>
      </c>
      <c r="L197">
        <f t="shared" ca="1" si="9"/>
        <v>5.4900078063610913E-2</v>
      </c>
      <c r="M197">
        <f t="shared" ca="1" si="9"/>
        <v>5.4896300324593181E-2</v>
      </c>
      <c r="N197">
        <f t="shared" ca="1" si="9"/>
        <v>5.4889977835139395E-2</v>
      </c>
      <c r="O197" s="43"/>
    </row>
    <row r="198" spans="3:15" x14ac:dyDescent="0.2">
      <c r="C198" s="3"/>
      <c r="D198">
        <v>196</v>
      </c>
      <c r="E198">
        <f t="shared" ca="1" si="10"/>
        <v>5.4880501151387179E-2</v>
      </c>
      <c r="F198">
        <f t="shared" ca="1" si="10"/>
        <v>5.4889800083584961E-2</v>
      </c>
      <c r="G198">
        <f t="shared" ca="1" si="10"/>
        <v>5.488718185608172E-2</v>
      </c>
      <c r="H198">
        <f t="shared" ca="1" si="10"/>
        <v>5.48966690517112E-2</v>
      </c>
      <c r="I198">
        <f t="shared" ca="1" si="10"/>
        <v>5.4893162618583853E-2</v>
      </c>
      <c r="J198">
        <f t="shared" ca="1" si="9"/>
        <v>5.4920392621871754E-2</v>
      </c>
      <c r="K198">
        <f t="shared" ca="1" si="9"/>
        <v>5.4889638544735893E-2</v>
      </c>
      <c r="L198">
        <f t="shared" ca="1" si="9"/>
        <v>5.4901833459639858E-2</v>
      </c>
      <c r="M198">
        <f t="shared" ca="1" si="9"/>
        <v>5.4894993326546446E-2</v>
      </c>
      <c r="N198">
        <f t="shared" ca="1" si="9"/>
        <v>5.4892811191124456E-2</v>
      </c>
      <c r="O198" s="43"/>
    </row>
    <row r="199" spans="3:15" x14ac:dyDescent="0.2">
      <c r="C199" s="3"/>
      <c r="D199">
        <v>197</v>
      </c>
      <c r="E199">
        <f t="shared" ca="1" si="10"/>
        <v>5.4884778362058434E-2</v>
      </c>
      <c r="F199">
        <f t="shared" ca="1" si="10"/>
        <v>5.4891693856506475E-2</v>
      </c>
      <c r="G199">
        <f t="shared" ca="1" si="10"/>
        <v>5.488932014474731E-2</v>
      </c>
      <c r="H199">
        <f t="shared" ca="1" si="10"/>
        <v>5.4896891123836618E-2</v>
      </c>
      <c r="I199">
        <f t="shared" ca="1" si="10"/>
        <v>5.4892531066565345E-2</v>
      </c>
      <c r="J199">
        <f t="shared" ca="1" si="9"/>
        <v>5.4919173995503855E-2</v>
      </c>
      <c r="K199">
        <f t="shared" ca="1" si="9"/>
        <v>5.4889326651218651E-2</v>
      </c>
      <c r="L199">
        <f t="shared" ca="1" si="9"/>
        <v>5.4904215621650113E-2</v>
      </c>
      <c r="M199">
        <f t="shared" ca="1" si="9"/>
        <v>5.4897356941032219E-2</v>
      </c>
      <c r="N199">
        <f t="shared" ca="1" si="9"/>
        <v>5.4895600423175553E-2</v>
      </c>
      <c r="O199" s="43"/>
    </row>
    <row r="200" spans="3:15" x14ac:dyDescent="0.2">
      <c r="C200" s="3"/>
      <c r="D200">
        <v>198</v>
      </c>
      <c r="E200">
        <f t="shared" ca="1" si="10"/>
        <v>5.4883725985202372E-2</v>
      </c>
      <c r="F200">
        <f t="shared" ca="1" si="10"/>
        <v>5.4891015625339087E-2</v>
      </c>
      <c r="G200">
        <f t="shared" ca="1" si="10"/>
        <v>5.4892943294354367E-2</v>
      </c>
      <c r="H200">
        <f t="shared" ca="1" si="10"/>
        <v>5.4901282188184408E-2</v>
      </c>
      <c r="I200">
        <f t="shared" ca="1" si="10"/>
        <v>5.4893930325034916E-2</v>
      </c>
      <c r="J200">
        <f t="shared" ca="1" si="9"/>
        <v>5.4915149834149468E-2</v>
      </c>
      <c r="K200">
        <f t="shared" ca="1" si="9"/>
        <v>5.4887957006076842E-2</v>
      </c>
      <c r="L200">
        <f t="shared" ca="1" si="9"/>
        <v>5.4903413483822973E-2</v>
      </c>
      <c r="M200">
        <f t="shared" ca="1" si="9"/>
        <v>5.4898265745796967E-2</v>
      </c>
      <c r="N200">
        <f t="shared" ca="1" si="9"/>
        <v>5.4890338253774769E-2</v>
      </c>
      <c r="O200" s="43"/>
    </row>
    <row r="201" spans="3:15" x14ac:dyDescent="0.2">
      <c r="C201" s="3"/>
      <c r="D201">
        <v>199</v>
      </c>
      <c r="E201">
        <f t="shared" ca="1" si="10"/>
        <v>5.4885070783315268E-2</v>
      </c>
      <c r="F201">
        <f t="shared" ca="1" si="10"/>
        <v>5.4890728329648114E-2</v>
      </c>
      <c r="G201">
        <f t="shared" ca="1" si="10"/>
        <v>5.4887470785907048E-2</v>
      </c>
      <c r="H201">
        <f t="shared" ca="1" si="10"/>
        <v>5.489853225629529E-2</v>
      </c>
      <c r="I201">
        <f t="shared" ca="1" si="10"/>
        <v>5.4896159300107328E-2</v>
      </c>
      <c r="J201">
        <f t="shared" ca="1" si="9"/>
        <v>5.491219168058762E-2</v>
      </c>
      <c r="K201">
        <f t="shared" ca="1" si="9"/>
        <v>5.4887098062261004E-2</v>
      </c>
      <c r="L201">
        <f t="shared" ca="1" si="9"/>
        <v>5.4906957771798236E-2</v>
      </c>
      <c r="M201">
        <f t="shared" ca="1" si="9"/>
        <v>5.4896166148097655E-2</v>
      </c>
      <c r="N201">
        <f t="shared" ca="1" si="9"/>
        <v>5.4895402063233734E-2</v>
      </c>
      <c r="O201" s="43"/>
    </row>
    <row r="202" spans="3:15" x14ac:dyDescent="0.2">
      <c r="C202" s="3"/>
      <c r="D202">
        <v>200</v>
      </c>
      <c r="E202">
        <f t="shared" ca="1" si="10"/>
        <v>5.4887124741957789E-2</v>
      </c>
      <c r="F202">
        <f t="shared" ca="1" si="10"/>
        <v>5.4891683851494857E-2</v>
      </c>
      <c r="G202">
        <f t="shared" ca="1" si="10"/>
        <v>5.488629382070332E-2</v>
      </c>
      <c r="H202">
        <f t="shared" ca="1" si="10"/>
        <v>5.4898884257891203E-2</v>
      </c>
      <c r="I202">
        <f t="shared" ca="1" si="10"/>
        <v>5.4896082889368758E-2</v>
      </c>
      <c r="J202">
        <f t="shared" ca="1" si="9"/>
        <v>5.4907683612856528E-2</v>
      </c>
      <c r="K202">
        <f t="shared" ca="1" si="9"/>
        <v>5.4887505442931687E-2</v>
      </c>
      <c r="L202">
        <f t="shared" ca="1" si="9"/>
        <v>5.4908899966376497E-2</v>
      </c>
      <c r="M202">
        <f t="shared" ca="1" si="9"/>
        <v>5.489144364546996E-2</v>
      </c>
      <c r="N202">
        <f t="shared" ca="1" si="9"/>
        <v>5.4899047628488018E-2</v>
      </c>
      <c r="O202" s="43"/>
    </row>
    <row r="203" spans="3:15" x14ac:dyDescent="0.2">
      <c r="C203" s="3"/>
      <c r="D203">
        <v>201</v>
      </c>
      <c r="E203">
        <f t="shared" ca="1" si="10"/>
        <v>5.488897567750959E-2</v>
      </c>
      <c r="F203">
        <f t="shared" ca="1" si="10"/>
        <v>5.4892290370954652E-2</v>
      </c>
      <c r="G203">
        <f t="shared" ca="1" si="10"/>
        <v>5.4887768797048E-2</v>
      </c>
      <c r="H203">
        <f t="shared" ca="1" si="10"/>
        <v>5.4898418687124827E-2</v>
      </c>
      <c r="I203">
        <f t="shared" ca="1" si="10"/>
        <v>5.4897984525659471E-2</v>
      </c>
      <c r="J203">
        <f t="shared" ca="1" si="9"/>
        <v>5.4903674579040211E-2</v>
      </c>
      <c r="K203">
        <f t="shared" ca="1" si="9"/>
        <v>5.4887040767243767E-2</v>
      </c>
      <c r="L203">
        <f t="shared" ca="1" si="9"/>
        <v>5.4906717783657778E-2</v>
      </c>
      <c r="M203">
        <f t="shared" ca="1" si="9"/>
        <v>5.4890028796229964E-2</v>
      </c>
      <c r="N203">
        <f t="shared" ca="1" si="9"/>
        <v>5.4898725327849208E-2</v>
      </c>
      <c r="O203" s="43"/>
    </row>
    <row r="204" spans="3:15" x14ac:dyDescent="0.2">
      <c r="C204" s="3"/>
      <c r="D204">
        <v>202</v>
      </c>
      <c r="E204">
        <f t="shared" ca="1" si="10"/>
        <v>5.4890633456490957E-2</v>
      </c>
      <c r="F204">
        <f t="shared" ca="1" si="10"/>
        <v>5.4891796634903164E-2</v>
      </c>
      <c r="G204">
        <f t="shared" ca="1" si="10"/>
        <v>5.4885726273707969E-2</v>
      </c>
      <c r="H204">
        <f t="shared" ca="1" si="10"/>
        <v>5.4897515128467217E-2</v>
      </c>
      <c r="I204">
        <f t="shared" ca="1" si="10"/>
        <v>5.4899730374129638E-2</v>
      </c>
      <c r="J204">
        <f t="shared" ca="1" si="9"/>
        <v>5.4899971343599668E-2</v>
      </c>
      <c r="K204">
        <f t="shared" ca="1" si="9"/>
        <v>5.488568607182237E-2</v>
      </c>
      <c r="L204">
        <f t="shared" ca="1" si="9"/>
        <v>5.4903322935090391E-2</v>
      </c>
      <c r="M204">
        <f t="shared" ca="1" si="9"/>
        <v>5.4887451349012184E-2</v>
      </c>
      <c r="N204">
        <f t="shared" ca="1" si="9"/>
        <v>5.4898075525534107E-2</v>
      </c>
      <c r="O204" s="43"/>
    </row>
    <row r="205" spans="3:15" x14ac:dyDescent="0.2">
      <c r="C205" s="3"/>
      <c r="D205">
        <v>203</v>
      </c>
      <c r="E205">
        <f t="shared" ca="1" si="10"/>
        <v>5.4888868609885379E-2</v>
      </c>
      <c r="F205">
        <f t="shared" ca="1" si="10"/>
        <v>5.4889079432844594E-2</v>
      </c>
      <c r="G205">
        <f t="shared" ca="1" si="10"/>
        <v>5.4882233226029468E-2</v>
      </c>
      <c r="H205">
        <f t="shared" ca="1" si="10"/>
        <v>5.4898488693358408E-2</v>
      </c>
      <c r="I205">
        <f t="shared" ca="1" si="10"/>
        <v>5.4897276201593653E-2</v>
      </c>
      <c r="J205">
        <f t="shared" ca="1" si="9"/>
        <v>5.4902150928354147E-2</v>
      </c>
      <c r="K205">
        <f t="shared" ca="1" si="9"/>
        <v>5.4888702397315962E-2</v>
      </c>
      <c r="L205">
        <f t="shared" ca="1" si="9"/>
        <v>5.490327321069037E-2</v>
      </c>
      <c r="M205">
        <f t="shared" ca="1" si="9"/>
        <v>5.4888016406534137E-2</v>
      </c>
      <c r="N205">
        <f t="shared" ca="1" si="9"/>
        <v>5.4897187962121494E-2</v>
      </c>
      <c r="O205" s="43"/>
    </row>
    <row r="206" spans="3:15" x14ac:dyDescent="0.2">
      <c r="C206" s="3"/>
      <c r="D206">
        <v>204</v>
      </c>
      <c r="E206">
        <f t="shared" ca="1" si="10"/>
        <v>5.489003772986964E-2</v>
      </c>
      <c r="F206">
        <f t="shared" ca="1" si="10"/>
        <v>5.4889607286959449E-2</v>
      </c>
      <c r="G206">
        <f t="shared" ca="1" si="10"/>
        <v>5.4885551940298614E-2</v>
      </c>
      <c r="H206">
        <f t="shared" ca="1" si="10"/>
        <v>5.4897653035404566E-2</v>
      </c>
      <c r="I206">
        <f t="shared" ca="1" si="10"/>
        <v>5.4899337762910311E-2</v>
      </c>
      <c r="J206">
        <f t="shared" ca="1" si="9"/>
        <v>5.4904557139016257E-2</v>
      </c>
      <c r="K206">
        <f t="shared" ca="1" si="9"/>
        <v>5.4886728783820116E-2</v>
      </c>
      <c r="L206">
        <f t="shared" ca="1" si="9"/>
        <v>5.4902677666269009E-2</v>
      </c>
      <c r="M206">
        <f t="shared" ca="1" si="9"/>
        <v>5.4887442300815818E-2</v>
      </c>
      <c r="N206">
        <f t="shared" ca="1" si="9"/>
        <v>5.4897813264602739E-2</v>
      </c>
      <c r="O206" s="43"/>
    </row>
    <row r="207" spans="3:15" x14ac:dyDescent="0.2">
      <c r="C207" s="3"/>
      <c r="D207">
        <v>205</v>
      </c>
      <c r="E207">
        <f t="shared" ca="1" si="10"/>
        <v>5.4888377942490532E-2</v>
      </c>
      <c r="F207">
        <f t="shared" ca="1" si="10"/>
        <v>5.4883138692151764E-2</v>
      </c>
      <c r="G207">
        <f t="shared" ca="1" si="10"/>
        <v>5.4881095170834997E-2</v>
      </c>
      <c r="H207">
        <f t="shared" ca="1" si="10"/>
        <v>5.4897693675842088E-2</v>
      </c>
      <c r="I207">
        <f t="shared" ca="1" si="10"/>
        <v>5.4897082725938989E-2</v>
      </c>
      <c r="J207">
        <f t="shared" ca="1" si="9"/>
        <v>5.4905885349243677E-2</v>
      </c>
      <c r="K207">
        <f t="shared" ca="1" si="9"/>
        <v>5.4888556729197978E-2</v>
      </c>
      <c r="L207">
        <f t="shared" ca="1" si="9"/>
        <v>5.4901114254639227E-2</v>
      </c>
      <c r="M207">
        <f t="shared" ca="1" si="9"/>
        <v>5.4890080126824198E-2</v>
      </c>
      <c r="N207">
        <f t="shared" ca="1" si="9"/>
        <v>5.4898323467726537E-2</v>
      </c>
      <c r="O207" s="43"/>
    </row>
    <row r="208" spans="3:15" x14ac:dyDescent="0.2">
      <c r="C208" s="3"/>
      <c r="D208">
        <v>206</v>
      </c>
      <c r="E208">
        <f t="shared" ca="1" si="10"/>
        <v>5.4885266538673358E-2</v>
      </c>
      <c r="F208">
        <f t="shared" ca="1" si="10"/>
        <v>5.4882191802998435E-2</v>
      </c>
      <c r="G208">
        <f t="shared" ca="1" si="10"/>
        <v>5.488071494999238E-2</v>
      </c>
      <c r="H208">
        <f t="shared" ca="1" si="10"/>
        <v>5.4898621589729121E-2</v>
      </c>
      <c r="I208">
        <f t="shared" ca="1" si="10"/>
        <v>5.4897441067611047E-2</v>
      </c>
      <c r="J208">
        <f t="shared" ca="1" si="9"/>
        <v>5.4905225231688698E-2</v>
      </c>
      <c r="K208">
        <f t="shared" ca="1" si="9"/>
        <v>5.4889524367325936E-2</v>
      </c>
      <c r="L208">
        <f t="shared" ca="1" si="9"/>
        <v>5.489742416014274E-2</v>
      </c>
      <c r="M208">
        <f t="shared" ca="1" si="9"/>
        <v>5.4900091282206458E-2</v>
      </c>
      <c r="N208">
        <f t="shared" ca="1" si="9"/>
        <v>5.4894135949318835E-2</v>
      </c>
      <c r="O208" s="43"/>
    </row>
    <row r="209" spans="3:15" x14ac:dyDescent="0.2">
      <c r="C209" s="3"/>
      <c r="D209">
        <v>207</v>
      </c>
      <c r="E209">
        <f t="shared" ca="1" si="10"/>
        <v>5.4883312504218053E-2</v>
      </c>
      <c r="F209">
        <f t="shared" ca="1" si="10"/>
        <v>5.4891157116073133E-2</v>
      </c>
      <c r="G209">
        <f t="shared" ca="1" si="10"/>
        <v>5.4880427116167266E-2</v>
      </c>
      <c r="H209">
        <f t="shared" ca="1" si="10"/>
        <v>5.4900898360186488E-2</v>
      </c>
      <c r="I209">
        <f t="shared" ca="1" si="10"/>
        <v>5.4898078608513472E-2</v>
      </c>
      <c r="J209">
        <f t="shared" ca="1" si="9"/>
        <v>5.4910069857676699E-2</v>
      </c>
      <c r="K209">
        <f t="shared" ca="1" si="9"/>
        <v>5.4889586589889031E-2</v>
      </c>
      <c r="L209">
        <f t="shared" ca="1" si="9"/>
        <v>5.4897643247350941E-2</v>
      </c>
      <c r="M209">
        <f t="shared" ca="1" si="9"/>
        <v>5.4903122195878423E-2</v>
      </c>
      <c r="N209">
        <f t="shared" ca="1" si="9"/>
        <v>5.4896585900025156E-2</v>
      </c>
      <c r="O209" s="43"/>
    </row>
    <row r="210" spans="3:15" x14ac:dyDescent="0.2">
      <c r="C210" s="3"/>
      <c r="D210">
        <v>208</v>
      </c>
      <c r="E210">
        <f t="shared" ca="1" si="10"/>
        <v>5.4882012994999584E-2</v>
      </c>
      <c r="F210">
        <f t="shared" ca="1" si="10"/>
        <v>5.4889329209375566E-2</v>
      </c>
      <c r="G210">
        <f t="shared" ca="1" si="10"/>
        <v>5.4879856755459623E-2</v>
      </c>
      <c r="H210">
        <f t="shared" ca="1" si="10"/>
        <v>5.4899347955042262E-2</v>
      </c>
      <c r="I210">
        <f t="shared" ca="1" si="10"/>
        <v>5.4897343195714689E-2</v>
      </c>
      <c r="J210">
        <f t="shared" ca="1" si="9"/>
        <v>5.4907552510251235E-2</v>
      </c>
      <c r="K210">
        <f t="shared" ca="1" si="9"/>
        <v>5.4888519545306311E-2</v>
      </c>
      <c r="L210">
        <f t="shared" ca="1" si="9"/>
        <v>5.4899376250008035E-2</v>
      </c>
      <c r="M210">
        <f t="shared" ca="1" si="9"/>
        <v>5.4903885271014405E-2</v>
      </c>
      <c r="N210">
        <f t="shared" ca="1" si="9"/>
        <v>5.4898830680725277E-2</v>
      </c>
      <c r="O210" s="43"/>
    </row>
    <row r="211" spans="3:15" x14ac:dyDescent="0.2">
      <c r="C211" s="3"/>
      <c r="D211">
        <v>209</v>
      </c>
      <c r="E211">
        <f t="shared" ca="1" si="10"/>
        <v>5.487903809340744E-2</v>
      </c>
      <c r="F211">
        <f t="shared" ca="1" si="10"/>
        <v>5.4887677702423504E-2</v>
      </c>
      <c r="G211">
        <f t="shared" ca="1" si="10"/>
        <v>5.4880283612311967E-2</v>
      </c>
      <c r="H211">
        <f t="shared" ca="1" si="10"/>
        <v>5.4898522553610517E-2</v>
      </c>
      <c r="I211">
        <f t="shared" ca="1" si="10"/>
        <v>5.4899052544877758E-2</v>
      </c>
      <c r="J211">
        <f t="shared" ca="1" si="9"/>
        <v>5.4905647546551965E-2</v>
      </c>
      <c r="K211">
        <f t="shared" ca="1" si="9"/>
        <v>5.4888267752144324E-2</v>
      </c>
      <c r="L211">
        <f t="shared" ca="1" si="9"/>
        <v>5.4894665586784672E-2</v>
      </c>
      <c r="M211">
        <f t="shared" ca="1" si="9"/>
        <v>5.4902013114048138E-2</v>
      </c>
      <c r="N211">
        <f t="shared" ca="1" si="9"/>
        <v>5.4904253006422994E-2</v>
      </c>
      <c r="O211" s="43"/>
    </row>
    <row r="212" spans="3:15" x14ac:dyDescent="0.2">
      <c r="C212" s="3"/>
      <c r="D212">
        <v>210</v>
      </c>
      <c r="E212">
        <f t="shared" ca="1" si="10"/>
        <v>5.4880436449892725E-2</v>
      </c>
      <c r="F212">
        <f t="shared" ca="1" si="10"/>
        <v>5.4886123359639348E-2</v>
      </c>
      <c r="G212">
        <f t="shared" ca="1" si="10"/>
        <v>5.4882196631153859E-2</v>
      </c>
      <c r="H212">
        <f t="shared" ca="1" si="10"/>
        <v>5.4900252542833428E-2</v>
      </c>
      <c r="I212">
        <f t="shared" ca="1" si="10"/>
        <v>5.4899915216969117E-2</v>
      </c>
      <c r="J212">
        <f t="shared" ca="1" si="9"/>
        <v>5.4905095694949141E-2</v>
      </c>
      <c r="K212">
        <f t="shared" ca="1" si="9"/>
        <v>5.4891176848989469E-2</v>
      </c>
      <c r="L212">
        <f t="shared" ca="1" si="9"/>
        <v>5.4901031408164255E-2</v>
      </c>
      <c r="M212">
        <f t="shared" ca="1" si="9"/>
        <v>5.490110185502186E-2</v>
      </c>
      <c r="N212">
        <f t="shared" ca="1" si="9"/>
        <v>5.4902898589783963E-2</v>
      </c>
      <c r="O212" s="43"/>
    </row>
    <row r="213" spans="3:15" x14ac:dyDescent="0.2">
      <c r="C213" s="3"/>
      <c r="D213">
        <v>211</v>
      </c>
      <c r="E213">
        <f t="shared" ca="1" si="10"/>
        <v>5.4885885538483253E-2</v>
      </c>
      <c r="F213">
        <f t="shared" ca="1" si="10"/>
        <v>5.4888753016154958E-2</v>
      </c>
      <c r="G213">
        <f t="shared" ca="1" si="10"/>
        <v>5.4881791219629321E-2</v>
      </c>
      <c r="H213">
        <f t="shared" ca="1" si="10"/>
        <v>5.4898637797701134E-2</v>
      </c>
      <c r="I213">
        <f t="shared" ca="1" si="10"/>
        <v>5.4904415160181713E-2</v>
      </c>
      <c r="J213">
        <f t="shared" ca="1" si="9"/>
        <v>5.4906099490433485E-2</v>
      </c>
      <c r="K213">
        <f t="shared" ca="1" si="9"/>
        <v>5.4889364704779939E-2</v>
      </c>
      <c r="L213">
        <f t="shared" ca="1" si="9"/>
        <v>5.4900851119443692E-2</v>
      </c>
      <c r="M213">
        <f t="shared" ca="1" si="9"/>
        <v>5.4901556979676178E-2</v>
      </c>
      <c r="N213">
        <f t="shared" ca="1" si="9"/>
        <v>5.490135805096405E-2</v>
      </c>
      <c r="O213" s="43"/>
    </row>
    <row r="214" spans="3:15" x14ac:dyDescent="0.2">
      <c r="C214" s="3"/>
      <c r="D214">
        <v>212</v>
      </c>
      <c r="E214">
        <f t="shared" ca="1" si="10"/>
        <v>5.4884718978771792E-2</v>
      </c>
      <c r="F214">
        <f t="shared" ca="1" si="10"/>
        <v>5.4888691286460595E-2</v>
      </c>
      <c r="G214">
        <f t="shared" ca="1" si="10"/>
        <v>5.4885352906598538E-2</v>
      </c>
      <c r="H214">
        <f t="shared" ca="1" si="10"/>
        <v>5.4897702730378702E-2</v>
      </c>
      <c r="I214">
        <f t="shared" ca="1" si="10"/>
        <v>5.4901062850310489E-2</v>
      </c>
      <c r="J214">
        <f t="shared" ca="1" si="9"/>
        <v>5.4907833424529109E-2</v>
      </c>
      <c r="K214">
        <f t="shared" ca="1" si="9"/>
        <v>5.4889021647051624E-2</v>
      </c>
      <c r="L214">
        <f t="shared" ca="1" si="9"/>
        <v>5.4898428612352702E-2</v>
      </c>
      <c r="M214">
        <f t="shared" ca="1" si="9"/>
        <v>5.4899759305944214E-2</v>
      </c>
      <c r="N214">
        <f t="shared" ca="1" si="9"/>
        <v>5.4902869053642549E-2</v>
      </c>
      <c r="O214" s="43"/>
    </row>
    <row r="215" spans="3:15" x14ac:dyDescent="0.2">
      <c r="C215" s="3"/>
      <c r="D215">
        <v>213</v>
      </c>
      <c r="E215">
        <f t="shared" ca="1" si="10"/>
        <v>5.4882660046172385E-2</v>
      </c>
      <c r="F215">
        <f t="shared" ca="1" si="10"/>
        <v>5.4889102669542111E-2</v>
      </c>
      <c r="G215">
        <f t="shared" ca="1" si="10"/>
        <v>5.4886978996572973E-2</v>
      </c>
      <c r="H215">
        <f t="shared" ca="1" si="10"/>
        <v>5.4894698324997937E-2</v>
      </c>
      <c r="I215">
        <f t="shared" ca="1" si="10"/>
        <v>5.489976948715538E-2</v>
      </c>
      <c r="J215">
        <f t="shared" ca="1" si="9"/>
        <v>5.4904586612061407E-2</v>
      </c>
      <c r="K215">
        <f t="shared" ca="1" si="9"/>
        <v>5.4891560657932388E-2</v>
      </c>
      <c r="L215">
        <f t="shared" ca="1" si="9"/>
        <v>5.4895103434475845E-2</v>
      </c>
      <c r="M215">
        <f t="shared" ca="1" si="9"/>
        <v>5.4900044560950843E-2</v>
      </c>
      <c r="N215">
        <f t="shared" ca="1" si="9"/>
        <v>5.490464633292829E-2</v>
      </c>
      <c r="O215" s="43"/>
    </row>
    <row r="216" spans="3:15" x14ac:dyDescent="0.2">
      <c r="C216" s="3"/>
      <c r="D216">
        <v>214</v>
      </c>
      <c r="E216">
        <f t="shared" ca="1" si="10"/>
        <v>5.4882826610333717E-2</v>
      </c>
      <c r="F216">
        <f t="shared" ca="1" si="10"/>
        <v>5.4889145202199917E-2</v>
      </c>
      <c r="G216">
        <f t="shared" ca="1" si="10"/>
        <v>5.4884762165470162E-2</v>
      </c>
      <c r="H216">
        <f t="shared" ca="1" si="10"/>
        <v>5.4897256924640474E-2</v>
      </c>
      <c r="I216">
        <f t="shared" ca="1" si="10"/>
        <v>5.4900740237379432E-2</v>
      </c>
      <c r="J216">
        <f t="shared" ca="1" si="9"/>
        <v>5.4902876121380978E-2</v>
      </c>
      <c r="K216">
        <f t="shared" ca="1" si="9"/>
        <v>5.4891864414604224E-2</v>
      </c>
      <c r="L216">
        <f t="shared" ca="1" si="9"/>
        <v>5.4897246044429214E-2</v>
      </c>
      <c r="M216">
        <f t="shared" ca="1" si="9"/>
        <v>5.4897686854334979E-2</v>
      </c>
      <c r="N216">
        <f t="shared" ca="1" si="9"/>
        <v>5.4902206965828849E-2</v>
      </c>
      <c r="O216" s="43"/>
    </row>
    <row r="217" spans="3:15" x14ac:dyDescent="0.2">
      <c r="C217" s="3"/>
      <c r="D217">
        <v>215</v>
      </c>
      <c r="E217">
        <f t="shared" ca="1" si="10"/>
        <v>5.4881668325919813E-2</v>
      </c>
      <c r="F217">
        <f t="shared" ca="1" si="10"/>
        <v>5.4888956707008552E-2</v>
      </c>
      <c r="G217">
        <f t="shared" ca="1" si="10"/>
        <v>5.4886467430587248E-2</v>
      </c>
      <c r="H217">
        <f t="shared" ca="1" si="10"/>
        <v>5.4900722310449374E-2</v>
      </c>
      <c r="I217">
        <f t="shared" ca="1" si="10"/>
        <v>5.4896160304193579E-2</v>
      </c>
      <c r="J217">
        <f t="shared" ca="1" si="9"/>
        <v>5.4898898698383249E-2</v>
      </c>
      <c r="K217">
        <f t="shared" ca="1" si="9"/>
        <v>5.4888871798370445E-2</v>
      </c>
      <c r="L217">
        <f t="shared" ca="1" si="9"/>
        <v>5.4894206441810291E-2</v>
      </c>
      <c r="M217">
        <f t="shared" ca="1" si="9"/>
        <v>5.4893860215513762E-2</v>
      </c>
      <c r="N217">
        <f t="shared" ca="1" si="9"/>
        <v>5.4899141120055381E-2</v>
      </c>
      <c r="O217" s="43"/>
    </row>
    <row r="218" spans="3:15" x14ac:dyDescent="0.2">
      <c r="C218" s="3"/>
      <c r="D218">
        <v>216</v>
      </c>
      <c r="E218">
        <f t="shared" ca="1" si="10"/>
        <v>5.4881106102470149E-2</v>
      </c>
      <c r="F218">
        <f t="shared" ca="1" si="10"/>
        <v>5.4888048258399137E-2</v>
      </c>
      <c r="G218">
        <f t="shared" ca="1" si="10"/>
        <v>5.4887939653160467E-2</v>
      </c>
      <c r="H218">
        <f t="shared" ca="1" si="10"/>
        <v>5.4905347898350762E-2</v>
      </c>
      <c r="I218">
        <f t="shared" ca="1" si="10"/>
        <v>5.4894557033695328E-2</v>
      </c>
      <c r="J218">
        <f t="shared" ca="1" si="9"/>
        <v>5.4902050267943849E-2</v>
      </c>
      <c r="K218">
        <f t="shared" ca="1" si="9"/>
        <v>5.4889114763295013E-2</v>
      </c>
      <c r="L218">
        <f t="shared" ca="1" si="9"/>
        <v>5.4893725859290407E-2</v>
      </c>
      <c r="M218">
        <f t="shared" ca="1" si="9"/>
        <v>5.4898287149919095E-2</v>
      </c>
      <c r="N218">
        <f t="shared" ca="1" si="9"/>
        <v>5.4897649022337056E-2</v>
      </c>
      <c r="O218" s="43"/>
    </row>
    <row r="219" spans="3:15" x14ac:dyDescent="0.2">
      <c r="C219" s="3"/>
      <c r="D219">
        <v>217</v>
      </c>
      <c r="E219">
        <f t="shared" ca="1" si="10"/>
        <v>5.4877818434128665E-2</v>
      </c>
      <c r="F219">
        <f t="shared" ca="1" si="10"/>
        <v>5.4887441967659233E-2</v>
      </c>
      <c r="G219">
        <f t="shared" ca="1" si="10"/>
        <v>5.4888105917271182E-2</v>
      </c>
      <c r="H219">
        <f t="shared" ca="1" si="10"/>
        <v>5.4905838233367511E-2</v>
      </c>
      <c r="I219">
        <f t="shared" ca="1" si="10"/>
        <v>5.4895212405538574E-2</v>
      </c>
      <c r="J219">
        <f t="shared" ca="1" si="9"/>
        <v>5.4902925468856015E-2</v>
      </c>
      <c r="K219">
        <f t="shared" ca="1" si="9"/>
        <v>5.4889116218167423E-2</v>
      </c>
      <c r="L219">
        <f t="shared" ca="1" si="9"/>
        <v>5.4893782060506935E-2</v>
      </c>
      <c r="M219">
        <f t="shared" ca="1" si="9"/>
        <v>5.4897248339305441E-2</v>
      </c>
      <c r="N219">
        <f t="shared" ca="1" si="9"/>
        <v>5.4895103065875549E-2</v>
      </c>
      <c r="O219" s="43"/>
    </row>
    <row r="220" spans="3:15" x14ac:dyDescent="0.2">
      <c r="C220" s="3"/>
      <c r="D220">
        <v>218</v>
      </c>
      <c r="E220">
        <f t="shared" ca="1" si="10"/>
        <v>5.4878538302001102E-2</v>
      </c>
      <c r="F220">
        <f t="shared" ca="1" si="10"/>
        <v>5.4882537939838293E-2</v>
      </c>
      <c r="G220">
        <f t="shared" ca="1" si="10"/>
        <v>5.488680376405309E-2</v>
      </c>
      <c r="H220">
        <f t="shared" ca="1" si="10"/>
        <v>5.4906536559514059E-2</v>
      </c>
      <c r="I220">
        <f t="shared" ca="1" si="10"/>
        <v>5.489909120183635E-2</v>
      </c>
      <c r="J220">
        <f t="shared" ca="1" si="9"/>
        <v>5.4906914710980928E-2</v>
      </c>
      <c r="K220">
        <f t="shared" ca="1" si="9"/>
        <v>5.4887293858345371E-2</v>
      </c>
      <c r="L220">
        <f t="shared" ca="1" si="9"/>
        <v>5.4894114697768538E-2</v>
      </c>
      <c r="M220">
        <f t="shared" ca="1" si="9"/>
        <v>5.4899493309629017E-2</v>
      </c>
      <c r="N220">
        <f t="shared" ca="1" si="9"/>
        <v>5.4895041670327611E-2</v>
      </c>
      <c r="O220" s="43"/>
    </row>
    <row r="221" spans="3:15" x14ac:dyDescent="0.2">
      <c r="C221" s="3"/>
      <c r="D221">
        <v>219</v>
      </c>
      <c r="E221">
        <f t="shared" ca="1" si="10"/>
        <v>5.4879350264742964E-2</v>
      </c>
      <c r="F221">
        <f t="shared" ca="1" si="10"/>
        <v>5.487931269958124E-2</v>
      </c>
      <c r="G221">
        <f t="shared" ca="1" si="10"/>
        <v>5.4891753768109931E-2</v>
      </c>
      <c r="H221">
        <f t="shared" ca="1" si="10"/>
        <v>5.4905954336348463E-2</v>
      </c>
      <c r="I221">
        <f t="shared" ca="1" si="10"/>
        <v>5.4901404772315997E-2</v>
      </c>
      <c r="J221">
        <f t="shared" ca="1" si="9"/>
        <v>5.4909244008339887E-2</v>
      </c>
      <c r="K221">
        <f t="shared" ca="1" si="9"/>
        <v>5.4886617000227948E-2</v>
      </c>
      <c r="L221">
        <f t="shared" ca="1" si="9"/>
        <v>5.4888353013217123E-2</v>
      </c>
      <c r="M221">
        <f t="shared" ca="1" si="9"/>
        <v>5.4899727512613364E-2</v>
      </c>
      <c r="N221">
        <f t="shared" ca="1" si="9"/>
        <v>5.4899984441165985E-2</v>
      </c>
      <c r="O221" s="43"/>
    </row>
    <row r="222" spans="3:15" x14ac:dyDescent="0.2">
      <c r="C222" s="3"/>
      <c r="D222">
        <v>220</v>
      </c>
      <c r="E222">
        <f t="shared" ca="1" si="10"/>
        <v>5.4880501434365202E-2</v>
      </c>
      <c r="F222">
        <f t="shared" ca="1" si="10"/>
        <v>5.4877901074359851E-2</v>
      </c>
      <c r="G222">
        <f t="shared" ca="1" si="10"/>
        <v>5.4888183462071867E-2</v>
      </c>
      <c r="H222">
        <f t="shared" ca="1" si="10"/>
        <v>5.4903838427740104E-2</v>
      </c>
      <c r="I222">
        <f t="shared" ca="1" si="10"/>
        <v>5.490063956962881E-2</v>
      </c>
      <c r="J222">
        <f t="shared" ca="1" si="9"/>
        <v>5.4904797776353542E-2</v>
      </c>
      <c r="K222">
        <f t="shared" ca="1" si="9"/>
        <v>5.4890930908254212E-2</v>
      </c>
      <c r="L222">
        <f t="shared" ca="1" si="9"/>
        <v>5.4894609676420104E-2</v>
      </c>
      <c r="M222">
        <f t="shared" ca="1" si="9"/>
        <v>5.4898293850713535E-2</v>
      </c>
      <c r="N222">
        <f t="shared" ca="1" si="9"/>
        <v>5.4900083811209456E-2</v>
      </c>
      <c r="O222" s="43"/>
    </row>
    <row r="223" spans="3:15" x14ac:dyDescent="0.2">
      <c r="C223" s="3"/>
      <c r="D223">
        <v>221</v>
      </c>
      <c r="E223">
        <f t="shared" ca="1" si="10"/>
        <v>5.4884239502145736E-2</v>
      </c>
      <c r="F223">
        <f t="shared" ca="1" si="10"/>
        <v>5.4878066575375688E-2</v>
      </c>
      <c r="G223">
        <f t="shared" ca="1" si="10"/>
        <v>5.4890618182230122E-2</v>
      </c>
      <c r="H223">
        <f t="shared" ca="1" si="10"/>
        <v>5.489988167049787E-2</v>
      </c>
      <c r="I223">
        <f t="shared" ca="1" si="10"/>
        <v>5.4897561510434761E-2</v>
      </c>
      <c r="J223">
        <f t="shared" ca="1" si="9"/>
        <v>5.4904739671518238E-2</v>
      </c>
      <c r="K223">
        <f t="shared" ca="1" si="9"/>
        <v>5.4888295400676336E-2</v>
      </c>
      <c r="L223">
        <f t="shared" ca="1" si="9"/>
        <v>5.489008752995396E-2</v>
      </c>
      <c r="M223">
        <f t="shared" ca="1" si="9"/>
        <v>5.4899845523475342E-2</v>
      </c>
      <c r="N223">
        <f t="shared" ca="1" si="9"/>
        <v>5.4898785597800218E-2</v>
      </c>
      <c r="O223" s="43"/>
    </row>
    <row r="224" spans="3:15" x14ac:dyDescent="0.2">
      <c r="C224" s="3"/>
      <c r="D224">
        <v>222</v>
      </c>
      <c r="E224">
        <f t="shared" ca="1" si="10"/>
        <v>5.488591076513849E-2</v>
      </c>
      <c r="F224">
        <f t="shared" ca="1" si="10"/>
        <v>5.487935066679827E-2</v>
      </c>
      <c r="G224">
        <f t="shared" ca="1" si="10"/>
        <v>5.4890745786018359E-2</v>
      </c>
      <c r="H224">
        <f t="shared" ca="1" si="10"/>
        <v>5.4906195920505566E-2</v>
      </c>
      <c r="I224">
        <f t="shared" ca="1" si="10"/>
        <v>5.4894761547634702E-2</v>
      </c>
      <c r="J224">
        <f t="shared" ca="1" si="9"/>
        <v>5.4907215147884707E-2</v>
      </c>
      <c r="K224">
        <f t="shared" ca="1" si="9"/>
        <v>5.4892648597655448E-2</v>
      </c>
      <c r="L224">
        <f t="shared" ca="1" si="9"/>
        <v>5.4888049014901769E-2</v>
      </c>
      <c r="M224">
        <f t="shared" ca="1" si="9"/>
        <v>5.4895321438678937E-2</v>
      </c>
      <c r="N224">
        <f t="shared" ca="1" si="9"/>
        <v>5.4898544598681188E-2</v>
      </c>
      <c r="O224" s="43"/>
    </row>
    <row r="225" spans="3:15" x14ac:dyDescent="0.2">
      <c r="C225" s="3"/>
      <c r="D225">
        <v>223</v>
      </c>
      <c r="E225">
        <f t="shared" ca="1" si="10"/>
        <v>5.4885803932186943E-2</v>
      </c>
      <c r="F225">
        <f t="shared" ca="1" si="10"/>
        <v>5.4879542111531149E-2</v>
      </c>
      <c r="G225">
        <f t="shared" ca="1" si="10"/>
        <v>5.4888687856499287E-2</v>
      </c>
      <c r="H225">
        <f t="shared" ca="1" si="10"/>
        <v>5.4908053472421808E-2</v>
      </c>
      <c r="I225">
        <f t="shared" ca="1" si="10"/>
        <v>5.4897987678896719E-2</v>
      </c>
      <c r="J225">
        <f t="shared" ca="1" si="9"/>
        <v>5.4903787577677568E-2</v>
      </c>
      <c r="K225">
        <f t="shared" ca="1" si="9"/>
        <v>5.488972590337577E-2</v>
      </c>
      <c r="L225">
        <f t="shared" ca="1" si="9"/>
        <v>5.4890574539087557E-2</v>
      </c>
      <c r="M225">
        <f t="shared" ca="1" si="9"/>
        <v>5.4893875120244767E-2</v>
      </c>
      <c r="N225">
        <f t="shared" ca="1" si="9"/>
        <v>5.490469947937756E-2</v>
      </c>
      <c r="O225" s="43"/>
    </row>
    <row r="226" spans="3:15" x14ac:dyDescent="0.2">
      <c r="C226" s="3"/>
      <c r="D226">
        <v>224</v>
      </c>
      <c r="E226">
        <f t="shared" ca="1" si="10"/>
        <v>5.4884316309112481E-2</v>
      </c>
      <c r="F226">
        <f t="shared" ca="1" si="10"/>
        <v>5.4880561392940529E-2</v>
      </c>
      <c r="G226">
        <f t="shared" ca="1" si="10"/>
        <v>5.4892294598745513E-2</v>
      </c>
      <c r="H226">
        <f t="shared" ca="1" si="10"/>
        <v>5.4908967693889185E-2</v>
      </c>
      <c r="I226">
        <f t="shared" ca="1" si="10"/>
        <v>5.4900677579913161E-2</v>
      </c>
      <c r="J226">
        <f t="shared" ca="1" si="9"/>
        <v>5.4901226491866913E-2</v>
      </c>
      <c r="K226">
        <f t="shared" ca="1" si="9"/>
        <v>5.4893364409078792E-2</v>
      </c>
      <c r="L226">
        <f t="shared" ca="1" si="9"/>
        <v>5.4889621529532986E-2</v>
      </c>
      <c r="M226">
        <f t="shared" ca="1" si="9"/>
        <v>5.489383477049628E-2</v>
      </c>
      <c r="N226">
        <f t="shared" ca="1" si="9"/>
        <v>5.4905718540429783E-2</v>
      </c>
      <c r="O226" s="43"/>
    </row>
    <row r="227" spans="3:15" x14ac:dyDescent="0.2">
      <c r="C227" s="3"/>
      <c r="D227">
        <v>225</v>
      </c>
      <c r="E227">
        <f t="shared" ca="1" si="10"/>
        <v>5.488401241774684E-2</v>
      </c>
      <c r="F227">
        <f t="shared" ca="1" si="10"/>
        <v>5.4877266007398763E-2</v>
      </c>
      <c r="G227">
        <f t="shared" ca="1" si="10"/>
        <v>5.4891646238167592E-2</v>
      </c>
      <c r="H227">
        <f t="shared" ca="1" si="10"/>
        <v>5.4912070630486177E-2</v>
      </c>
      <c r="I227">
        <f t="shared" ca="1" si="10"/>
        <v>5.4903771140150354E-2</v>
      </c>
      <c r="J227">
        <f t="shared" ca="1" si="9"/>
        <v>5.4898448546667387E-2</v>
      </c>
      <c r="K227">
        <f t="shared" ca="1" si="9"/>
        <v>5.489028052989945E-2</v>
      </c>
      <c r="L227">
        <f t="shared" ca="1" si="9"/>
        <v>5.4886329014518127E-2</v>
      </c>
      <c r="M227">
        <f t="shared" ca="1" si="9"/>
        <v>5.4897718048842616E-2</v>
      </c>
      <c r="N227">
        <f t="shared" ca="1" si="9"/>
        <v>5.4905319832216672E-2</v>
      </c>
      <c r="O227" s="43"/>
    </row>
    <row r="228" spans="3:15" x14ac:dyDescent="0.2">
      <c r="C228" s="3"/>
      <c r="D228">
        <v>226</v>
      </c>
      <c r="E228">
        <f t="shared" ca="1" si="10"/>
        <v>5.4884468900207643E-2</v>
      </c>
      <c r="F228">
        <f t="shared" ca="1" si="10"/>
        <v>5.4874009045919457E-2</v>
      </c>
      <c r="G228">
        <f t="shared" ca="1" si="10"/>
        <v>5.4893444910252095E-2</v>
      </c>
      <c r="H228">
        <f t="shared" ca="1" si="10"/>
        <v>5.4913466670753905E-2</v>
      </c>
      <c r="I228">
        <f t="shared" ca="1" si="10"/>
        <v>5.4904361648983435E-2</v>
      </c>
      <c r="J228">
        <f t="shared" ca="1" si="9"/>
        <v>5.4894137389178435E-2</v>
      </c>
      <c r="K228">
        <f t="shared" ca="1" si="9"/>
        <v>5.4895059599999518E-2</v>
      </c>
      <c r="L228">
        <f t="shared" ca="1" si="9"/>
        <v>5.4882075532760748E-2</v>
      </c>
      <c r="M228">
        <f t="shared" ca="1" si="9"/>
        <v>5.489584488785787E-2</v>
      </c>
      <c r="N228">
        <f t="shared" ca="1" si="9"/>
        <v>5.4907511117691037E-2</v>
      </c>
      <c r="O228" s="43"/>
    </row>
    <row r="229" spans="3:15" x14ac:dyDescent="0.2">
      <c r="C229" s="3"/>
      <c r="D229">
        <v>227</v>
      </c>
      <c r="E229">
        <f t="shared" ca="1" si="10"/>
        <v>5.4889579601576546E-2</v>
      </c>
      <c r="F229">
        <f t="shared" ca="1" si="10"/>
        <v>5.4874323913334348E-2</v>
      </c>
      <c r="G229">
        <f t="shared" ca="1" si="10"/>
        <v>5.489109399420445E-2</v>
      </c>
      <c r="H229">
        <f t="shared" ca="1" si="10"/>
        <v>5.4912118766125839E-2</v>
      </c>
      <c r="I229">
        <f t="shared" ca="1" si="10"/>
        <v>5.4903939045444765E-2</v>
      </c>
      <c r="J229">
        <f t="shared" ca="1" si="9"/>
        <v>5.4898536301637664E-2</v>
      </c>
      <c r="K229">
        <f t="shared" ca="1" si="9"/>
        <v>5.4893199243264079E-2</v>
      </c>
      <c r="L229">
        <f t="shared" ca="1" si="9"/>
        <v>5.4883351799273727E-2</v>
      </c>
      <c r="M229">
        <f t="shared" ca="1" si="9"/>
        <v>5.4898885967302323E-2</v>
      </c>
      <c r="N229">
        <f t="shared" ca="1" si="9"/>
        <v>5.4907671110711147E-2</v>
      </c>
      <c r="O229" s="43"/>
    </row>
    <row r="230" spans="3:15" x14ac:dyDescent="0.2">
      <c r="C230" s="3"/>
      <c r="D230">
        <v>228</v>
      </c>
      <c r="E230">
        <f t="shared" ca="1" si="10"/>
        <v>5.4887177274965851E-2</v>
      </c>
      <c r="F230">
        <f t="shared" ca="1" si="10"/>
        <v>5.4874959120834642E-2</v>
      </c>
      <c r="G230">
        <f t="shared" ca="1" si="10"/>
        <v>5.4892551189012775E-2</v>
      </c>
      <c r="H230">
        <f t="shared" ca="1" si="10"/>
        <v>5.4916980846866949E-2</v>
      </c>
      <c r="I230">
        <f t="shared" ca="1" si="10"/>
        <v>5.4902638990576159E-2</v>
      </c>
      <c r="J230">
        <f t="shared" ca="1" si="9"/>
        <v>5.4898808099502136E-2</v>
      </c>
      <c r="K230">
        <f t="shared" ca="1" si="9"/>
        <v>5.4895116630198179E-2</v>
      </c>
      <c r="L230">
        <f t="shared" ca="1" si="9"/>
        <v>5.4886774352569834E-2</v>
      </c>
      <c r="M230">
        <f t="shared" ca="1" si="9"/>
        <v>5.4901620336643836E-2</v>
      </c>
      <c r="N230">
        <f t="shared" ca="1" si="9"/>
        <v>5.4908488689038908E-2</v>
      </c>
      <c r="O230" s="43"/>
    </row>
    <row r="231" spans="3:15" x14ac:dyDescent="0.2">
      <c r="C231" s="3"/>
      <c r="D231">
        <v>229</v>
      </c>
      <c r="E231">
        <f t="shared" ca="1" si="10"/>
        <v>5.4892095081142886E-2</v>
      </c>
      <c r="F231">
        <f t="shared" ca="1" si="10"/>
        <v>5.4873614518070969E-2</v>
      </c>
      <c r="G231">
        <f t="shared" ca="1" si="10"/>
        <v>5.4892365082954385E-2</v>
      </c>
      <c r="H231">
        <f t="shared" ca="1" si="10"/>
        <v>5.4913232020595372E-2</v>
      </c>
      <c r="I231">
        <f t="shared" ca="1" si="10"/>
        <v>5.4905370985996668E-2</v>
      </c>
      <c r="J231">
        <f t="shared" ca="1" si="9"/>
        <v>5.4897475615712905E-2</v>
      </c>
      <c r="K231">
        <f t="shared" ca="1" si="9"/>
        <v>5.4896009074956273E-2</v>
      </c>
      <c r="L231">
        <f t="shared" ca="1" si="9"/>
        <v>5.4885749219712753E-2</v>
      </c>
      <c r="M231">
        <f t="shared" ca="1" si="9"/>
        <v>5.490413320874174E-2</v>
      </c>
      <c r="N231">
        <f t="shared" ca="1" si="9"/>
        <v>5.4904296848333395E-2</v>
      </c>
      <c r="O231" s="43"/>
    </row>
    <row r="232" spans="3:15" x14ac:dyDescent="0.2">
      <c r="C232" s="3"/>
      <c r="D232">
        <v>230</v>
      </c>
      <c r="E232">
        <f t="shared" ca="1" si="10"/>
        <v>5.4894275005169808E-2</v>
      </c>
      <c r="F232">
        <f t="shared" ca="1" si="10"/>
        <v>5.4876414448952665E-2</v>
      </c>
      <c r="G232">
        <f t="shared" ca="1" si="10"/>
        <v>5.4893169755466951E-2</v>
      </c>
      <c r="H232">
        <f t="shared" ca="1" si="10"/>
        <v>5.4912075655333417E-2</v>
      </c>
      <c r="I232">
        <f t="shared" ca="1" si="10"/>
        <v>5.4903373115698165E-2</v>
      </c>
      <c r="J232">
        <f t="shared" ca="1" si="9"/>
        <v>5.489902877906503E-2</v>
      </c>
      <c r="K232">
        <f t="shared" ca="1" si="9"/>
        <v>5.4896876726718988E-2</v>
      </c>
      <c r="L232">
        <f t="shared" ca="1" si="9"/>
        <v>5.4883661968931699E-2</v>
      </c>
      <c r="M232">
        <f t="shared" ca="1" si="9"/>
        <v>5.4907919463834089E-2</v>
      </c>
      <c r="N232">
        <f t="shared" ca="1" si="9"/>
        <v>5.4898955830992593E-2</v>
      </c>
      <c r="O232" s="43"/>
    </row>
    <row r="233" spans="3:15" x14ac:dyDescent="0.2">
      <c r="C233" s="3"/>
      <c r="D233">
        <v>231</v>
      </c>
      <c r="E233">
        <f t="shared" ca="1" si="10"/>
        <v>5.4891720864122355E-2</v>
      </c>
      <c r="F233">
        <f t="shared" ca="1" si="10"/>
        <v>5.4873931222463992E-2</v>
      </c>
      <c r="G233">
        <f t="shared" ca="1" si="10"/>
        <v>5.4894416612161739E-2</v>
      </c>
      <c r="H233">
        <f t="shared" ca="1" si="10"/>
        <v>5.4910566925457927E-2</v>
      </c>
      <c r="I233">
        <f t="shared" ca="1" si="10"/>
        <v>5.4899956539995201E-2</v>
      </c>
      <c r="J233">
        <f t="shared" ref="J233:N255" ca="1" si="11">$B$1*($B$2-J232)*$B$6+$B$3*SQRT(J232)*SQRT($B$6)*_xlfn.NORM.S.INV(RAND())+J232</f>
        <v>5.4900472559991566E-2</v>
      </c>
      <c r="K233">
        <f t="shared" ca="1" si="11"/>
        <v>5.4896321662945648E-2</v>
      </c>
      <c r="L233">
        <f t="shared" ca="1" si="11"/>
        <v>5.4884412826105212E-2</v>
      </c>
      <c r="M233">
        <f t="shared" ca="1" si="11"/>
        <v>5.4908252742220012E-2</v>
      </c>
      <c r="N233">
        <f t="shared" ca="1" si="11"/>
        <v>5.4896803831267528E-2</v>
      </c>
      <c r="O233" s="43"/>
    </row>
    <row r="234" spans="3:15" x14ac:dyDescent="0.2">
      <c r="C234" s="3"/>
      <c r="D234">
        <v>232</v>
      </c>
      <c r="E234">
        <f t="shared" ref="E234:I255" ca="1" si="12">$B$1*($B$2-E233)*$B$6+$B$3*SQRT(E233)*SQRT($B$6)*_xlfn.NORM.S.INV(RAND())+E233</f>
        <v>5.4892162076619302E-2</v>
      </c>
      <c r="F234">
        <f t="shared" ca="1" si="12"/>
        <v>5.4869106610039985E-2</v>
      </c>
      <c r="G234">
        <f t="shared" ca="1" si="12"/>
        <v>5.4890535289006781E-2</v>
      </c>
      <c r="H234">
        <f t="shared" ca="1" si="12"/>
        <v>5.4911503211680639E-2</v>
      </c>
      <c r="I234">
        <f t="shared" ca="1" si="12"/>
        <v>5.4897636156306294E-2</v>
      </c>
      <c r="J234">
        <f t="shared" ca="1" si="11"/>
        <v>5.4898044678381663E-2</v>
      </c>
      <c r="K234">
        <f t="shared" ca="1" si="11"/>
        <v>5.4894635866569647E-2</v>
      </c>
      <c r="L234">
        <f t="shared" ca="1" si="11"/>
        <v>5.4889243493490461E-2</v>
      </c>
      <c r="M234">
        <f t="shared" ca="1" si="11"/>
        <v>5.4906126523134431E-2</v>
      </c>
      <c r="N234">
        <f t="shared" ca="1" si="11"/>
        <v>5.4893081600895836E-2</v>
      </c>
      <c r="O234" s="43"/>
    </row>
    <row r="235" spans="3:15" x14ac:dyDescent="0.2">
      <c r="C235" s="3"/>
      <c r="D235">
        <v>233</v>
      </c>
      <c r="E235">
        <f t="shared" ca="1" si="12"/>
        <v>5.4892591115156923E-2</v>
      </c>
      <c r="F235">
        <f t="shared" ca="1" si="12"/>
        <v>5.4871128880326935E-2</v>
      </c>
      <c r="G235">
        <f t="shared" ca="1" si="12"/>
        <v>5.4893131353361858E-2</v>
      </c>
      <c r="H235">
        <f t="shared" ca="1" si="12"/>
        <v>5.490915042747193E-2</v>
      </c>
      <c r="I235">
        <f t="shared" ca="1" si="12"/>
        <v>5.4898654149189006E-2</v>
      </c>
      <c r="J235">
        <f t="shared" ca="1" si="11"/>
        <v>5.4892695669260035E-2</v>
      </c>
      <c r="K235">
        <f t="shared" ca="1" si="11"/>
        <v>5.4895910696040752E-2</v>
      </c>
      <c r="L235">
        <f t="shared" ca="1" si="11"/>
        <v>5.4893365078307742E-2</v>
      </c>
      <c r="M235">
        <f t="shared" ca="1" si="11"/>
        <v>5.4905030874049451E-2</v>
      </c>
      <c r="N235">
        <f t="shared" ca="1" si="11"/>
        <v>5.4894972644337903E-2</v>
      </c>
      <c r="O235" s="43"/>
    </row>
    <row r="236" spans="3:15" x14ac:dyDescent="0.2">
      <c r="C236" s="3"/>
      <c r="D236">
        <v>234</v>
      </c>
      <c r="E236">
        <f t="shared" ca="1" si="12"/>
        <v>5.4900077509252264E-2</v>
      </c>
      <c r="F236">
        <f t="shared" ca="1" si="12"/>
        <v>5.4872341338869472E-2</v>
      </c>
      <c r="G236">
        <f t="shared" ca="1" si="12"/>
        <v>5.4894844986785346E-2</v>
      </c>
      <c r="H236">
        <f t="shared" ca="1" si="12"/>
        <v>5.4910508842352469E-2</v>
      </c>
      <c r="I236">
        <f t="shared" ca="1" si="12"/>
        <v>5.4899674412824305E-2</v>
      </c>
      <c r="J236">
        <f t="shared" ca="1" si="11"/>
        <v>5.4895605068119753E-2</v>
      </c>
      <c r="K236">
        <f t="shared" ca="1" si="11"/>
        <v>5.4893702389902828E-2</v>
      </c>
      <c r="L236">
        <f t="shared" ca="1" si="11"/>
        <v>5.4894302529865942E-2</v>
      </c>
      <c r="M236">
        <f t="shared" ca="1" si="11"/>
        <v>5.4905707674768316E-2</v>
      </c>
      <c r="N236">
        <f t="shared" ca="1" si="11"/>
        <v>5.4898333092808782E-2</v>
      </c>
      <c r="O236" s="43"/>
    </row>
    <row r="237" spans="3:15" x14ac:dyDescent="0.2">
      <c r="C237" s="3"/>
      <c r="D237">
        <v>235</v>
      </c>
      <c r="E237">
        <f t="shared" ca="1" si="12"/>
        <v>5.489899458598118E-2</v>
      </c>
      <c r="F237">
        <f t="shared" ca="1" si="12"/>
        <v>5.4877631210636338E-2</v>
      </c>
      <c r="G237">
        <f t="shared" ca="1" si="12"/>
        <v>5.4892074895842101E-2</v>
      </c>
      <c r="H237">
        <f t="shared" ca="1" si="12"/>
        <v>5.4906880541344086E-2</v>
      </c>
      <c r="I237">
        <f t="shared" ca="1" si="12"/>
        <v>5.490176294820482E-2</v>
      </c>
      <c r="J237">
        <f t="shared" ca="1" si="11"/>
        <v>5.4901950576402112E-2</v>
      </c>
      <c r="K237">
        <f t="shared" ca="1" si="11"/>
        <v>5.4887475285737279E-2</v>
      </c>
      <c r="L237">
        <f t="shared" ca="1" si="11"/>
        <v>5.4894791531298739E-2</v>
      </c>
      <c r="M237">
        <f t="shared" ca="1" si="11"/>
        <v>5.4906560227051648E-2</v>
      </c>
      <c r="N237">
        <f t="shared" ca="1" si="11"/>
        <v>5.4903670128593582E-2</v>
      </c>
      <c r="O237" s="43"/>
    </row>
    <row r="238" spans="3:15" x14ac:dyDescent="0.2">
      <c r="C238" s="3"/>
      <c r="D238">
        <v>236</v>
      </c>
      <c r="E238">
        <f t="shared" ca="1" si="12"/>
        <v>5.4899390076845737E-2</v>
      </c>
      <c r="F238">
        <f t="shared" ca="1" si="12"/>
        <v>5.4878285097958349E-2</v>
      </c>
      <c r="G238">
        <f t="shared" ca="1" si="12"/>
        <v>5.4898872217795255E-2</v>
      </c>
      <c r="H238">
        <f t="shared" ca="1" si="12"/>
        <v>5.4911453274521613E-2</v>
      </c>
      <c r="I238">
        <f t="shared" ca="1" si="12"/>
        <v>5.4905033383454788E-2</v>
      </c>
      <c r="J238">
        <f t="shared" ca="1" si="11"/>
        <v>5.4901658999634569E-2</v>
      </c>
      <c r="K238">
        <f t="shared" ca="1" si="11"/>
        <v>5.4883642192440948E-2</v>
      </c>
      <c r="L238">
        <f t="shared" ca="1" si="11"/>
        <v>5.4896893486795217E-2</v>
      </c>
      <c r="M238">
        <f t="shared" ca="1" si="11"/>
        <v>5.49072301437704E-2</v>
      </c>
      <c r="N238">
        <f t="shared" ca="1" si="11"/>
        <v>5.4899019732084713E-2</v>
      </c>
      <c r="O238" s="43"/>
    </row>
    <row r="239" spans="3:15" x14ac:dyDescent="0.2">
      <c r="C239" s="3"/>
      <c r="D239">
        <v>237</v>
      </c>
      <c r="E239">
        <f t="shared" ca="1" si="12"/>
        <v>5.4900645764426388E-2</v>
      </c>
      <c r="F239">
        <f t="shared" ca="1" si="12"/>
        <v>5.4879040220004352E-2</v>
      </c>
      <c r="G239">
        <f t="shared" ca="1" si="12"/>
        <v>5.4902137512501434E-2</v>
      </c>
      <c r="H239">
        <f t="shared" ca="1" si="12"/>
        <v>5.4911294072207281E-2</v>
      </c>
      <c r="I239">
        <f t="shared" ca="1" si="12"/>
        <v>5.4906945690215724E-2</v>
      </c>
      <c r="J239">
        <f t="shared" ca="1" si="11"/>
        <v>5.4899256154626465E-2</v>
      </c>
      <c r="K239">
        <f t="shared" ca="1" si="11"/>
        <v>5.4885614368425088E-2</v>
      </c>
      <c r="L239">
        <f t="shared" ca="1" si="11"/>
        <v>5.48984573225237E-2</v>
      </c>
      <c r="M239">
        <f t="shared" ca="1" si="11"/>
        <v>5.4906963160842787E-2</v>
      </c>
      <c r="N239">
        <f t="shared" ca="1" si="11"/>
        <v>5.4900125365217108E-2</v>
      </c>
      <c r="O239" s="43"/>
    </row>
    <row r="240" spans="3:15" x14ac:dyDescent="0.2">
      <c r="C240" s="3"/>
      <c r="D240">
        <v>238</v>
      </c>
      <c r="E240">
        <f t="shared" ca="1" si="12"/>
        <v>5.4901099059229942E-2</v>
      </c>
      <c r="F240">
        <f t="shared" ca="1" si="12"/>
        <v>5.4878766132457492E-2</v>
      </c>
      <c r="G240">
        <f t="shared" ca="1" si="12"/>
        <v>5.4907601540350036E-2</v>
      </c>
      <c r="H240">
        <f t="shared" ca="1" si="12"/>
        <v>5.4909541374393245E-2</v>
      </c>
      <c r="I240">
        <f t="shared" ca="1" si="12"/>
        <v>5.490811044675746E-2</v>
      </c>
      <c r="J240">
        <f t="shared" ca="1" si="11"/>
        <v>5.4899098771186629E-2</v>
      </c>
      <c r="K240">
        <f t="shared" ca="1" si="11"/>
        <v>5.4887386728313815E-2</v>
      </c>
      <c r="L240">
        <f t="shared" ca="1" si="11"/>
        <v>5.4902579491162035E-2</v>
      </c>
      <c r="M240">
        <f t="shared" ca="1" si="11"/>
        <v>5.4908053493813003E-2</v>
      </c>
      <c r="N240">
        <f t="shared" ca="1" si="11"/>
        <v>5.489926823571336E-2</v>
      </c>
      <c r="O240" s="43"/>
    </row>
    <row r="241" spans="3:15" x14ac:dyDescent="0.2">
      <c r="C241" s="3"/>
      <c r="D241">
        <v>239</v>
      </c>
      <c r="E241">
        <f t="shared" ca="1" si="12"/>
        <v>5.4902362162537285E-2</v>
      </c>
      <c r="F241">
        <f t="shared" ca="1" si="12"/>
        <v>5.4874825009810155E-2</v>
      </c>
      <c r="G241">
        <f t="shared" ca="1" si="12"/>
        <v>5.4904351865997736E-2</v>
      </c>
      <c r="H241">
        <f t="shared" ca="1" si="12"/>
        <v>5.4907565547321534E-2</v>
      </c>
      <c r="I241">
        <f t="shared" ca="1" si="12"/>
        <v>5.4906792510110256E-2</v>
      </c>
      <c r="J241">
        <f t="shared" ca="1" si="11"/>
        <v>5.4897344059598549E-2</v>
      </c>
      <c r="K241">
        <f t="shared" ca="1" si="11"/>
        <v>5.4889638801349575E-2</v>
      </c>
      <c r="L241">
        <f t="shared" ca="1" si="11"/>
        <v>5.4901575902529032E-2</v>
      </c>
      <c r="M241">
        <f t="shared" ca="1" si="11"/>
        <v>5.4906253356090999E-2</v>
      </c>
      <c r="N241">
        <f t="shared" ca="1" si="11"/>
        <v>5.4899011402463456E-2</v>
      </c>
      <c r="O241" s="43"/>
    </row>
    <row r="242" spans="3:15" x14ac:dyDescent="0.2">
      <c r="C242" s="3"/>
      <c r="D242">
        <v>240</v>
      </c>
      <c r="E242">
        <f t="shared" ca="1" si="12"/>
        <v>5.4901190912948462E-2</v>
      </c>
      <c r="F242">
        <f t="shared" ca="1" si="12"/>
        <v>5.4876020187302386E-2</v>
      </c>
      <c r="G242">
        <f t="shared" ca="1" si="12"/>
        <v>5.4902333016220432E-2</v>
      </c>
      <c r="H242">
        <f t="shared" ca="1" si="12"/>
        <v>5.4911145277450703E-2</v>
      </c>
      <c r="I242">
        <f t="shared" ca="1" si="12"/>
        <v>5.490737066068796E-2</v>
      </c>
      <c r="J242">
        <f t="shared" ca="1" si="11"/>
        <v>5.4897840187326089E-2</v>
      </c>
      <c r="K242">
        <f t="shared" ca="1" si="11"/>
        <v>5.4884193106522511E-2</v>
      </c>
      <c r="L242">
        <f t="shared" ca="1" si="11"/>
        <v>5.4900793565178838E-2</v>
      </c>
      <c r="M242">
        <f t="shared" ca="1" si="11"/>
        <v>5.490710888726804E-2</v>
      </c>
      <c r="N242">
        <f t="shared" ca="1" si="11"/>
        <v>5.4898917647027611E-2</v>
      </c>
      <c r="O242" s="43"/>
    </row>
    <row r="243" spans="3:15" x14ac:dyDescent="0.2">
      <c r="C243" s="3"/>
      <c r="D243">
        <v>241</v>
      </c>
      <c r="E243">
        <f t="shared" ca="1" si="12"/>
        <v>5.4904193332039899E-2</v>
      </c>
      <c r="F243">
        <f t="shared" ca="1" si="12"/>
        <v>5.487637020639996E-2</v>
      </c>
      <c r="G243">
        <f t="shared" ca="1" si="12"/>
        <v>5.4898769972215523E-2</v>
      </c>
      <c r="H243">
        <f t="shared" ca="1" si="12"/>
        <v>5.4908346095553277E-2</v>
      </c>
      <c r="I243">
        <f t="shared" ca="1" si="12"/>
        <v>5.4909008924492055E-2</v>
      </c>
      <c r="J243">
        <f t="shared" ca="1" si="11"/>
        <v>5.4895093368593099E-2</v>
      </c>
      <c r="K243">
        <f t="shared" ca="1" si="11"/>
        <v>5.4882833773838111E-2</v>
      </c>
      <c r="L243">
        <f t="shared" ca="1" si="11"/>
        <v>5.4903320201739804E-2</v>
      </c>
      <c r="M243">
        <f t="shared" ca="1" si="11"/>
        <v>5.4906070995260778E-2</v>
      </c>
      <c r="N243">
        <f t="shared" ca="1" si="11"/>
        <v>5.4895268036656973E-2</v>
      </c>
      <c r="O243" s="43"/>
    </row>
    <row r="244" spans="3:15" x14ac:dyDescent="0.2">
      <c r="C244" s="3"/>
      <c r="D244">
        <v>242</v>
      </c>
      <c r="E244">
        <f t="shared" ca="1" si="12"/>
        <v>5.4903948256499233E-2</v>
      </c>
      <c r="F244">
        <f t="shared" ca="1" si="12"/>
        <v>5.4875901738756061E-2</v>
      </c>
      <c r="G244">
        <f t="shared" ca="1" si="12"/>
        <v>5.4896304535087266E-2</v>
      </c>
      <c r="H244">
        <f t="shared" ca="1" si="12"/>
        <v>5.4908802308234181E-2</v>
      </c>
      <c r="I244">
        <f t="shared" ca="1" si="12"/>
        <v>5.4911325794151547E-2</v>
      </c>
      <c r="J244">
        <f t="shared" ca="1" si="11"/>
        <v>5.4890510620740129E-2</v>
      </c>
      <c r="K244">
        <f t="shared" ca="1" si="11"/>
        <v>5.4879053214046694E-2</v>
      </c>
      <c r="L244">
        <f t="shared" ca="1" si="11"/>
        <v>5.4900322475514969E-2</v>
      </c>
      <c r="M244">
        <f t="shared" ca="1" si="11"/>
        <v>5.4902551816796402E-2</v>
      </c>
      <c r="N244">
        <f t="shared" ca="1" si="11"/>
        <v>5.489417521190159E-2</v>
      </c>
      <c r="O244" s="43"/>
    </row>
    <row r="245" spans="3:15" x14ac:dyDescent="0.2">
      <c r="C245" s="3"/>
      <c r="D245">
        <v>243</v>
      </c>
      <c r="E245">
        <f t="shared" ca="1" si="12"/>
        <v>5.4906264622865242E-2</v>
      </c>
      <c r="F245">
        <f t="shared" ca="1" si="12"/>
        <v>5.4874231052639728E-2</v>
      </c>
      <c r="G245">
        <f t="shared" ca="1" si="12"/>
        <v>5.4894572278615245E-2</v>
      </c>
      <c r="H245">
        <f t="shared" ca="1" si="12"/>
        <v>5.4902172569872933E-2</v>
      </c>
      <c r="I245">
        <f t="shared" ca="1" si="12"/>
        <v>5.4911111998617902E-2</v>
      </c>
      <c r="J245">
        <f t="shared" ca="1" si="11"/>
        <v>5.4888740034659877E-2</v>
      </c>
      <c r="K245">
        <f t="shared" ca="1" si="11"/>
        <v>5.4879604667130412E-2</v>
      </c>
      <c r="L245">
        <f t="shared" ca="1" si="11"/>
        <v>5.4899360154047193E-2</v>
      </c>
      <c r="M245">
        <f t="shared" ca="1" si="11"/>
        <v>5.4900064493079319E-2</v>
      </c>
      <c r="N245">
        <f t="shared" ca="1" si="11"/>
        <v>5.4892891851586773E-2</v>
      </c>
      <c r="O245" s="43"/>
    </row>
    <row r="246" spans="3:15" x14ac:dyDescent="0.2">
      <c r="C246" s="3"/>
      <c r="D246">
        <v>244</v>
      </c>
      <c r="E246">
        <f t="shared" ca="1" si="12"/>
        <v>5.4902638645841377E-2</v>
      </c>
      <c r="F246">
        <f t="shared" ca="1" si="12"/>
        <v>5.4873595978200282E-2</v>
      </c>
      <c r="G246">
        <f t="shared" ca="1" si="12"/>
        <v>5.4893517014198367E-2</v>
      </c>
      <c r="H246">
        <f t="shared" ca="1" si="12"/>
        <v>5.4903799725905013E-2</v>
      </c>
      <c r="I246">
        <f t="shared" ca="1" si="12"/>
        <v>5.4911007961914289E-2</v>
      </c>
      <c r="J246">
        <f t="shared" ca="1" si="11"/>
        <v>5.488657070928598E-2</v>
      </c>
      <c r="K246">
        <f t="shared" ca="1" si="11"/>
        <v>5.4879956377817674E-2</v>
      </c>
      <c r="L246">
        <f t="shared" ca="1" si="11"/>
        <v>5.4899784828009023E-2</v>
      </c>
      <c r="M246">
        <f t="shared" ca="1" si="11"/>
        <v>5.4899294836411719E-2</v>
      </c>
      <c r="N246">
        <f t="shared" ca="1" si="11"/>
        <v>5.4893574796428368E-2</v>
      </c>
      <c r="O246" s="43"/>
    </row>
    <row r="247" spans="3:15" x14ac:dyDescent="0.2">
      <c r="C247" s="3"/>
      <c r="D247">
        <v>245</v>
      </c>
      <c r="E247">
        <f t="shared" ca="1" si="12"/>
        <v>5.4901060938001581E-2</v>
      </c>
      <c r="F247">
        <f t="shared" ca="1" si="12"/>
        <v>5.4875015491463293E-2</v>
      </c>
      <c r="G247">
        <f t="shared" ca="1" si="12"/>
        <v>5.4895304359845867E-2</v>
      </c>
      <c r="H247">
        <f t="shared" ca="1" si="12"/>
        <v>5.4908372276131698E-2</v>
      </c>
      <c r="I247">
        <f t="shared" ca="1" si="12"/>
        <v>5.490858932405409E-2</v>
      </c>
      <c r="J247">
        <f t="shared" ca="1" si="11"/>
        <v>5.4882339933389097E-2</v>
      </c>
      <c r="K247">
        <f t="shared" ca="1" si="11"/>
        <v>5.4881339599401585E-2</v>
      </c>
      <c r="L247">
        <f t="shared" ca="1" si="11"/>
        <v>5.4902391985068189E-2</v>
      </c>
      <c r="M247">
        <f t="shared" ca="1" si="11"/>
        <v>5.4899544128069348E-2</v>
      </c>
      <c r="N247">
        <f t="shared" ca="1" si="11"/>
        <v>5.4897236355741147E-2</v>
      </c>
      <c r="O247" s="43"/>
    </row>
    <row r="248" spans="3:15" x14ac:dyDescent="0.2">
      <c r="C248" s="3"/>
      <c r="D248">
        <v>246</v>
      </c>
      <c r="E248">
        <f t="shared" ca="1" si="12"/>
        <v>5.4899445142049141E-2</v>
      </c>
      <c r="F248">
        <f t="shared" ca="1" si="12"/>
        <v>5.4880850132393258E-2</v>
      </c>
      <c r="G248">
        <f t="shared" ca="1" si="12"/>
        <v>5.4896739522995577E-2</v>
      </c>
      <c r="H248">
        <f t="shared" ca="1" si="12"/>
        <v>5.4906422674917466E-2</v>
      </c>
      <c r="I248">
        <f t="shared" ca="1" si="12"/>
        <v>5.4908874660245688E-2</v>
      </c>
      <c r="J248">
        <f t="shared" ca="1" si="11"/>
        <v>5.4880861757723123E-2</v>
      </c>
      <c r="K248">
        <f t="shared" ca="1" si="11"/>
        <v>5.4884857136183636E-2</v>
      </c>
      <c r="L248">
        <f t="shared" ca="1" si="11"/>
        <v>5.4901888608172904E-2</v>
      </c>
      <c r="M248">
        <f t="shared" ca="1" si="11"/>
        <v>5.4903116918249582E-2</v>
      </c>
      <c r="N248">
        <f t="shared" ca="1" si="11"/>
        <v>5.4891369749838145E-2</v>
      </c>
      <c r="O248" s="43"/>
    </row>
    <row r="249" spans="3:15" x14ac:dyDescent="0.2">
      <c r="C249" s="3"/>
      <c r="D249">
        <v>247</v>
      </c>
      <c r="E249">
        <f t="shared" ca="1" si="12"/>
        <v>5.4898629328861935E-2</v>
      </c>
      <c r="F249">
        <f t="shared" ca="1" si="12"/>
        <v>5.487526390778999E-2</v>
      </c>
      <c r="G249">
        <f t="shared" ca="1" si="12"/>
        <v>5.4894992602457067E-2</v>
      </c>
      <c r="H249">
        <f t="shared" ca="1" si="12"/>
        <v>5.4903947197619221E-2</v>
      </c>
      <c r="I249">
        <f t="shared" ca="1" si="12"/>
        <v>5.4909380115945046E-2</v>
      </c>
      <c r="J249">
        <f t="shared" ca="1" si="11"/>
        <v>5.4884226659530196E-2</v>
      </c>
      <c r="K249">
        <f t="shared" ca="1" si="11"/>
        <v>5.4884566194047482E-2</v>
      </c>
      <c r="L249">
        <f t="shared" ca="1" si="11"/>
        <v>5.4905621601290963E-2</v>
      </c>
      <c r="M249">
        <f t="shared" ca="1" si="11"/>
        <v>5.4903881853921102E-2</v>
      </c>
      <c r="N249">
        <f t="shared" ca="1" si="11"/>
        <v>5.4893475845410114E-2</v>
      </c>
      <c r="O249" s="43"/>
    </row>
    <row r="250" spans="3:15" x14ac:dyDescent="0.2">
      <c r="C250" s="3"/>
      <c r="D250">
        <v>248</v>
      </c>
      <c r="E250">
        <f t="shared" ca="1" si="12"/>
        <v>5.4899491010113058E-2</v>
      </c>
      <c r="F250">
        <f t="shared" ca="1" si="12"/>
        <v>5.4880786919455443E-2</v>
      </c>
      <c r="G250">
        <f t="shared" ca="1" si="12"/>
        <v>5.4894927238404494E-2</v>
      </c>
      <c r="H250">
        <f t="shared" ca="1" si="12"/>
        <v>5.4903065503799878E-2</v>
      </c>
      <c r="I250">
        <f t="shared" ca="1" si="12"/>
        <v>5.4905722665707771E-2</v>
      </c>
      <c r="J250">
        <f t="shared" ca="1" si="11"/>
        <v>5.4883336478419011E-2</v>
      </c>
      <c r="K250">
        <f t="shared" ca="1" si="11"/>
        <v>5.4884793021113439E-2</v>
      </c>
      <c r="L250">
        <f t="shared" ca="1" si="11"/>
        <v>5.490225606086329E-2</v>
      </c>
      <c r="M250">
        <f t="shared" ca="1" si="11"/>
        <v>5.4903769264110697E-2</v>
      </c>
      <c r="N250">
        <f t="shared" ca="1" si="11"/>
        <v>5.4893660005545235E-2</v>
      </c>
      <c r="O250" s="43"/>
    </row>
    <row r="251" spans="3:15" x14ac:dyDescent="0.2">
      <c r="C251" s="3"/>
      <c r="D251">
        <v>249</v>
      </c>
      <c r="E251">
        <f t="shared" ca="1" si="12"/>
        <v>5.489567747456435E-2</v>
      </c>
      <c r="F251">
        <f t="shared" ca="1" si="12"/>
        <v>5.4883344840409631E-2</v>
      </c>
      <c r="G251">
        <f t="shared" ca="1" si="12"/>
        <v>5.4897777405595934E-2</v>
      </c>
      <c r="H251">
        <f t="shared" ca="1" si="12"/>
        <v>5.4908935153823162E-2</v>
      </c>
      <c r="I251">
        <f t="shared" ca="1" si="12"/>
        <v>5.4906405725767375E-2</v>
      </c>
      <c r="J251">
        <f t="shared" ca="1" si="11"/>
        <v>5.4882332423609667E-2</v>
      </c>
      <c r="K251">
        <f t="shared" ca="1" si="11"/>
        <v>5.4884860374064287E-2</v>
      </c>
      <c r="L251">
        <f t="shared" ca="1" si="11"/>
        <v>5.4900566350751065E-2</v>
      </c>
      <c r="M251">
        <f t="shared" ca="1" si="11"/>
        <v>5.4900807896877964E-2</v>
      </c>
      <c r="N251">
        <f t="shared" ca="1" si="11"/>
        <v>5.4895976012151668E-2</v>
      </c>
      <c r="O251" s="43"/>
    </row>
    <row r="252" spans="3:15" x14ac:dyDescent="0.2">
      <c r="C252" s="3"/>
      <c r="D252">
        <v>250</v>
      </c>
      <c r="E252">
        <f t="shared" ca="1" si="12"/>
        <v>5.489523411770493E-2</v>
      </c>
      <c r="F252">
        <f t="shared" ca="1" si="12"/>
        <v>5.4883528919588469E-2</v>
      </c>
      <c r="G252">
        <f t="shared" ca="1" si="12"/>
        <v>5.4898663152296641E-2</v>
      </c>
      <c r="H252">
        <f t="shared" ca="1" si="12"/>
        <v>5.4910540801232893E-2</v>
      </c>
      <c r="I252">
        <f t="shared" ca="1" si="12"/>
        <v>5.4903186806283651E-2</v>
      </c>
      <c r="J252">
        <f t="shared" ca="1" si="11"/>
        <v>5.4881263088179401E-2</v>
      </c>
      <c r="K252">
        <f t="shared" ca="1" si="11"/>
        <v>5.4882741829134232E-2</v>
      </c>
      <c r="L252">
        <f t="shared" ca="1" si="11"/>
        <v>5.4902251440880769E-2</v>
      </c>
      <c r="M252">
        <f t="shared" ca="1" si="11"/>
        <v>5.4897111942895128E-2</v>
      </c>
      <c r="N252">
        <f t="shared" ca="1" si="11"/>
        <v>5.4896004341527013E-2</v>
      </c>
      <c r="O252" s="43"/>
    </row>
    <row r="253" spans="3:15" x14ac:dyDescent="0.2">
      <c r="C253" s="3"/>
      <c r="D253">
        <v>251</v>
      </c>
      <c r="E253">
        <f t="shared" ca="1" si="12"/>
        <v>5.4899161372391377E-2</v>
      </c>
      <c r="F253">
        <f t="shared" ca="1" si="12"/>
        <v>5.4887810943097651E-2</v>
      </c>
      <c r="G253">
        <f t="shared" ca="1" si="12"/>
        <v>5.4898756559558851E-2</v>
      </c>
      <c r="H253">
        <f t="shared" ca="1" si="12"/>
        <v>5.4910169564688506E-2</v>
      </c>
      <c r="I253">
        <f t="shared" ca="1" si="12"/>
        <v>5.4906200947609729E-2</v>
      </c>
      <c r="J253">
        <f t="shared" ca="1" si="11"/>
        <v>5.4879285762090405E-2</v>
      </c>
      <c r="K253">
        <f t="shared" ca="1" si="11"/>
        <v>5.4884058171452005E-2</v>
      </c>
      <c r="L253">
        <f t="shared" ca="1" si="11"/>
        <v>5.4904473120125183E-2</v>
      </c>
      <c r="M253">
        <f t="shared" ca="1" si="11"/>
        <v>5.4890603220726128E-2</v>
      </c>
      <c r="N253">
        <f t="shared" ca="1" si="11"/>
        <v>5.4897556380241408E-2</v>
      </c>
      <c r="O253" s="43"/>
    </row>
    <row r="254" spans="3:15" x14ac:dyDescent="0.2">
      <c r="C254" s="3"/>
      <c r="D254">
        <v>252</v>
      </c>
      <c r="E254">
        <f t="shared" ca="1" si="12"/>
        <v>5.4898205621120029E-2</v>
      </c>
      <c r="F254">
        <f t="shared" ca="1" si="12"/>
        <v>5.4887457052823038E-2</v>
      </c>
      <c r="G254">
        <f t="shared" ca="1" si="12"/>
        <v>5.4899113215453155E-2</v>
      </c>
      <c r="H254">
        <f t="shared" ca="1" si="12"/>
        <v>5.4908411385870041E-2</v>
      </c>
      <c r="I254">
        <f t="shared" ca="1" si="12"/>
        <v>5.4903615544446338E-2</v>
      </c>
      <c r="J254">
        <f t="shared" ca="1" si="11"/>
        <v>5.4877577845222493E-2</v>
      </c>
      <c r="K254">
        <f t="shared" ca="1" si="11"/>
        <v>5.4883668083392359E-2</v>
      </c>
      <c r="L254">
        <f t="shared" ca="1" si="11"/>
        <v>5.4902751436408367E-2</v>
      </c>
      <c r="M254">
        <f t="shared" ca="1" si="11"/>
        <v>5.488629637584836E-2</v>
      </c>
      <c r="N254">
        <f t="shared" ca="1" si="11"/>
        <v>5.489625573453185E-2</v>
      </c>
      <c r="O254" s="43"/>
    </row>
    <row r="255" spans="3:15" x14ac:dyDescent="0.2">
      <c r="C255" s="3"/>
      <c r="D255">
        <v>253</v>
      </c>
      <c r="E255">
        <f t="shared" ca="1" si="12"/>
        <v>5.489442387231936E-2</v>
      </c>
      <c r="F255">
        <f t="shared" ca="1" si="12"/>
        <v>5.4888813448849362E-2</v>
      </c>
      <c r="G255">
        <f t="shared" ca="1" si="12"/>
        <v>5.4894691390630773E-2</v>
      </c>
      <c r="H255">
        <f t="shared" ca="1" si="12"/>
        <v>5.4905650046748404E-2</v>
      </c>
      <c r="I255">
        <f t="shared" ca="1" si="12"/>
        <v>5.4903206748549982E-2</v>
      </c>
      <c r="J255">
        <f t="shared" ca="1" si="11"/>
        <v>5.4880505377276005E-2</v>
      </c>
      <c r="K255">
        <f t="shared" ca="1" si="11"/>
        <v>5.4882443021369229E-2</v>
      </c>
      <c r="L255">
        <f t="shared" ca="1" si="11"/>
        <v>5.4898223131167212E-2</v>
      </c>
      <c r="M255">
        <f t="shared" ca="1" si="11"/>
        <v>5.4888814916769758E-2</v>
      </c>
      <c r="N255">
        <f t="shared" ca="1" si="11"/>
        <v>5.4898749979761657E-2</v>
      </c>
      <c r="O255" s="43"/>
    </row>
  </sheetData>
  <mergeCells count="1">
    <mergeCell ref="P2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</vt:lpstr>
      <vt:lpstr>2023</vt:lpstr>
      <vt:lpstr>Vasicek Parameter Est (MLE)</vt:lpstr>
      <vt:lpstr>Vasicek Simulation (MLE)</vt:lpstr>
      <vt:lpstr>CIR Parameter Est (MLE) )</vt:lpstr>
      <vt:lpstr>CIR Simulation (MLE)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Mehta</dc:creator>
  <cp:lastModifiedBy>Mehul Mehta</cp:lastModifiedBy>
  <dcterms:created xsi:type="dcterms:W3CDTF">2024-12-01T05:48:46Z</dcterms:created>
  <dcterms:modified xsi:type="dcterms:W3CDTF">2024-12-07T09:13:18Z</dcterms:modified>
</cp:coreProperties>
</file>